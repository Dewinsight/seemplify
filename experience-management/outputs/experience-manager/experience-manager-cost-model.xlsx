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dd539ecfa74c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d9bb90d1b2146bb"/>
    <x:sheet xmlns:r="http://schemas.openxmlformats.org/officeDocument/2006/relationships" name="Assumptions" sheetId="2" r:id="R9fe97bdf68a841d9"/>
    <x:sheet xmlns:r="http://schemas.openxmlformats.org/officeDocument/2006/relationships" name="Initial Costs" sheetId="3" r:id="R518d86ccde854df4"/>
    <x:sheet xmlns:r="http://schemas.openxmlformats.org/officeDocument/2006/relationships" name="Monthly Costs" sheetId="4" r:id="Rca654cd280ca4b67"/>
    <x:sheet xmlns:r="http://schemas.openxmlformats.org/officeDocument/2006/relationships" name="12-Month View" sheetId="5" r:id="Rcd7d4098518a4f61"/>
    <x:sheet xmlns:r="http://schemas.openxmlformats.org/officeDocument/2006/relationships" name="Cost Register" sheetId="6" r:id="R5fad07f75f0940cd"/>
    <x:sheet xmlns:r="http://schemas.openxmlformats.org/officeDocument/2006/relationships" name="Sources &amp; Checks" sheetId="7" r:id="R6fa7d0f1a6414a72"/>
  </x:sheets>
</x:workbook>
</file>

<file path=xl/comments1.xml><?xml version="1.0" encoding="utf-8"?>
<x:comments xmlns:x="http://schemas.openxmlformats.org/spreadsheetml/2006/main">
  <x:authors>
    <x:author>tc={AF2231CF-6495-6262-D76E-78448C6B60A4}</x:author>
    <x:author>tc={4652C75B-85B2-E1DD-41DC-18326A7142D9}</x:author>
    <x:author>tc={54A33B85-3C2D-8B44-62C1-FA2118E6433D}</x:author>
  </x:authors>
  <x:commentList>
    <x:comment ref="C7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https://www.aikido.dev/pricing | Published Basic plan USD 300/month; converted at the planning exchange rate.</x:t>
        </x:r>
      </x:text>
    </x:comment>
    <x:comment ref="C10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Starter Azure budget based on the user's USD 200/month baseline. Confirm regional Azure sizing before commitment.</x:t>
        </x:r>
      </x:text>
    </x:comment>
    <x:comment ref="C18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Planning-only exchange rate. Replace with the procurement-date rate.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&quot;NGN &quot;#,##0;[Red](&quot;NGN &quot;#,##0);-"/>
    <x:numFmt numFmtId="201" formatCode="#,##0;[Red](#,##0);-"/>
    <x:numFmt numFmtId="202" formatCode="0.0%"/>
    <x:numFmt numFmtId="203" formatCode="0%"/>
    <x:numFmt numFmtId="204" formatCode="&quot;USD &quot;#,##0"/>
  </x:numFmts>
  <x:fonts count="22">
    <x:font>
      <x:sz val="11"/>
      <x:name val="Carlito"/>
    </x:font>
    <x:font>
      <x:b/>
      <x:sz val="20"/>
      <x:color rgb="FFFFFFFF"/>
      <x:name val="Carlito"/>
    </x:font>
    <x:font>
      <x:sz val="10"/>
      <x:color rgb="FF667069"/>
      <x:name val="Carlito"/>
    </x:font>
    <x:font>
      <x:b/>
      <x:sz val="9"/>
      <x:color rgb="FFFFFFFF"/>
      <x:name val="Carlito"/>
    </x:font>
    <x:font>
      <x:sz val="9"/>
      <x:color rgb="FF1F2722"/>
      <x:name val="Carlito"/>
    </x:font>
    <x:font>
      <x:sz val="9"/>
      <x:color rgb="FF1F4E78"/>
      <x:name val="Carlito"/>
    </x:font>
    <x:font>
      <x:b/>
      <x:sz val="11"/>
      <x:color rgb="FF304F3E"/>
      <x:name val="Carlito"/>
    </x:font>
    <x:font>
      <x:b/>
      <x:sz val="11"/>
      <x:color rgb="FFFFFFFF"/>
      <x:name val="Carlito"/>
    </x:font>
    <x:font>
      <x:b/>
      <x:sz val="10"/>
      <x:color rgb="FF667069"/>
      <x:name val="Carlito"/>
    </x:font>
    <x:font>
      <x:b/>
      <x:sz val="18"/>
      <x:color rgb="FFFFFFFF"/>
      <x:name val="Carlito"/>
    </x:font>
    <x:font>
      <x:b/>
      <x:sz val="20"/>
      <x:color rgb="FF304F3E"/>
      <x:name val="Carlito"/>
    </x:font>
    <x:font>
      <x:b/>
      <x:sz val="20"/>
      <x:color rgb="FFFFFFFF"/>
      <x:name val="Aptos"/>
    </x:font>
    <x:font>
      <x:sz val="11"/>
      <x:name val="Aptos"/>
    </x:font>
    <x:font>
      <x:sz val="10"/>
      <x:color rgb="FF667069"/>
      <x:name val="Aptos"/>
    </x:font>
    <x:font>
      <x:b/>
      <x:sz val="11"/>
      <x:color rgb="FFFFFFFF"/>
      <x:name val="Aptos"/>
    </x:font>
    <x:font>
      <x:b/>
      <x:sz val="10"/>
      <x:color rgb="FF667069"/>
      <x:name val="Aptos"/>
    </x:font>
    <x:font>
      <x:b/>
      <x:sz val="18"/>
      <x:color rgb="FFFFFFFF"/>
      <x:name val="Aptos"/>
    </x:font>
    <x:font>
      <x:b/>
      <x:sz val="20"/>
      <x:color rgb="FF304F3E"/>
      <x:name val="Aptos"/>
    </x:font>
    <x:font>
      <x:b/>
      <x:sz val="9"/>
      <x:color rgb="FFFFFFFF"/>
      <x:name val="Aptos"/>
    </x:font>
    <x:font>
      <x:sz val="9"/>
      <x:color rgb="FF1F2722"/>
      <x:name val="Aptos"/>
    </x:font>
    <x:font>
      <x:sz val="9"/>
      <x:color rgb="FF1F4E78"/>
      <x:name val="Aptos"/>
    </x:font>
    <x:font>
      <x:b/>
      <x:sz val="11"/>
      <x:color rgb="FF304F3E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304F3E"/>
      </x:patternFill>
    </x:fill>
    <x:fill>
      <x:patternFill patternType="solid">
        <x:fgColor rgb="FFF4F6F0"/>
      </x:patternFill>
    </x:fill>
    <x:fill>
      <x:patternFill patternType="solid">
        <x:fgColor rgb="FFFBFCF8"/>
      </x:patternFill>
    </x:fill>
    <x:fill>
      <x:patternFill patternType="solid">
        <x:fgColor rgb="FFE7F0FA"/>
      </x:patternFill>
    </x:fill>
    <x:fill>
      <x:patternFill patternType="solid">
        <x:fgColor rgb="FFDCE5C9"/>
      </x:patternFill>
    </x:fill>
    <x:fill>
      <x:patternFill patternType="solid">
        <x:fgColor rgb="FF3E6550"/>
      </x:patternFill>
    </x:fill>
  </x:fills>
  <x:borders count="16">
    <x:border/>
    <x:border>
      <x:left style="thin">
        <x:color rgb="FF304F3E"/>
      </x:left>
      <x:top style="thin">
        <x:color rgb="FF304F3E"/>
      </x:top>
      <x:bottom style="thin">
        <x:color rgb="FF304F3E"/>
      </x:bottom>
    </x:border>
    <x:border>
      <x:top style="thin">
        <x:color rgb="FF304F3E"/>
      </x:top>
      <x:bottom style="thin">
        <x:color rgb="FF304F3E"/>
      </x:bottom>
    </x:border>
    <x:border>
      <x:right style="thin">
        <x:color rgb="FF304F3E"/>
      </x:right>
      <x:top style="thin">
        <x:color rgb="FF304F3E"/>
      </x:top>
      <x:bottom style="thin">
        <x:color rgb="FF304F3E"/>
      </x:bottom>
    </x:border>
    <x:border>
      <x:bottom style="thin">
        <x:color rgb="FFD5DBD2"/>
      </x:bottom>
    </x:border>
    <x:border>
      <x:top style="thin">
        <x:color rgb="FFD5DBD2"/>
      </x:top>
      <x:bottom style="thin">
        <x:color rgb="FFD5DBD2"/>
      </x:bottom>
    </x:border>
    <x:border>
      <x:left style="medium">
        <x:color rgb="FF304F3E"/>
      </x:left>
      <x:top style="medium">
        <x:color rgb="FF304F3E"/>
      </x:top>
      <x:bottom style="medium">
        <x:color rgb="FF304F3E"/>
      </x:bottom>
    </x:border>
    <x:border>
      <x:top style="medium">
        <x:color rgb="FF304F3E"/>
      </x:top>
      <x:bottom style="medium">
        <x:color rgb="FF304F3E"/>
      </x:bottom>
    </x:border>
    <x:border>
      <x:right style="medium">
        <x:color rgb="FF304F3E"/>
      </x:right>
      <x:top style="medium">
        <x:color rgb="FF304F3E"/>
      </x:top>
      <x:bottom style="medium">
        <x:color rgb="FF304F3E"/>
      </x:bottom>
    </x:border>
    <x:border>
      <x:left style="thin">
        <x:color rgb="FFD5DBD2"/>
      </x:left>
      <x:top style="thin">
        <x:color rgb="FFD5DBD2"/>
      </x:top>
    </x:border>
    <x:border>
      <x:top style="thin">
        <x:color rgb="FFD5DBD2"/>
      </x:top>
    </x:border>
    <x:border>
      <x:right style="thin">
        <x:color rgb="FFD5DBD2"/>
      </x:right>
      <x:top style="thin">
        <x:color rgb="FFD5DBD2"/>
      </x:top>
    </x:border>
    <x:border>
      <x:left style="thin">
        <x:color rgb="FFD5DBD2"/>
      </x:left>
    </x:border>
    <x:border>
      <x:right style="thin">
        <x:color rgb="FFD5DBD2"/>
      </x:right>
    </x:border>
    <x:border>
      <x:left style="thin">
        <x:color rgb="FFD5DBD2"/>
      </x:left>
      <x:bottom style="thin">
        <x:color rgb="FFD5DBD2"/>
      </x:bottom>
    </x:border>
    <x:border>
      <x:right style="thin">
        <x:color rgb="FFD5DBD2"/>
      </x:right>
      <x:bottom style="thin">
        <x:color rgb="FFD5DBD2"/>
      </x:bottom>
    </x:border>
  </x:borders>
  <x:cellStyleXfs count="1">
    <x:xf numFmtId="0" fontId="0" fillId="0" borderId="0"/>
  </x:cellStyleXfs>
  <x:cellXfs count="1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5" fillId="5" borderId="4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200" fontId="5" fillId="5" borderId="4" xfId="0" applyNumberFormat="1" applyFont="1" applyFill="1" applyBorder="1" applyAlignment="1">
      <x:alignment vertical="center" wrapText="1"/>
    </x:xf>
    <x:xf numFmtId="200" fontId="5" fillId="5" borderId="5" xfId="0" applyNumberFormat="1" applyFont="1" applyFill="1" applyBorder="1" applyAlignment="1">
      <x:alignment vertical="center" wrapText="1"/>
    </x:xf>
    <x:xf numFmtId="201" fontId="5" fillId="5" borderId="5" xfId="0" applyNumberFormat="1" applyFont="1" applyFill="1" applyBorder="1" applyAlignment="1">
      <x:alignment vertical="center" wrapText="1"/>
    </x:xf>
    <x:xf numFmtId="202" fontId="5" fillId="5" borderId="5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200" fontId="4" fillId="0" borderId="4" xfId="0" applyNumberFormat="1" applyFont="1" applyFill="1" applyBorder="1" applyAlignment="1">
      <x:alignment vertical="center" wrapText="1"/>
    </x:xf>
    <x:xf numFmtId="200" fontId="4" fillId="0" borderId="5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6" fillId="6" borderId="8" xfId="0" applyNumberFormat="1" applyFont="1" applyFill="1" applyBorder="1"/>
    <x:xf numFmtId="200" fontId="6" fillId="6" borderId="7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horizontal="center" wrapText="1"/>
    </x:xf>
    <x:xf numFmtId="0" fontId="9" fillId="2" borderId="0" xfId="0" applyNumberFormat="1" applyFont="1" applyFill="1" applyBorder="1" applyAlignment="1">
      <x:alignment horizontal="center" vertical="center" wrapText="1"/>
    </x:xf>
    <x:xf numFmtId="0" fontId="10" fillId="6" borderId="0" xfId="0" applyNumberFormat="1" applyFont="1" applyFill="1" applyBorder="1"/>
    <x:xf numFmtId="200" fontId="10" fillId="6" borderId="0" xfId="0" applyNumberFormat="1" applyFont="1" applyFill="1" applyBorder="1"/>
    <x:xf numFmtId="200" fontId="10" fillId="6" borderId="0" xfId="0" applyNumberFormat="1" applyFont="1" applyFill="1" applyBorder="1" applyAlignment="1">
      <x:alignment horizontal="center"/>
    </x:xf>
    <x:xf numFmtId="200" fontId="10" fillId="6" borderId="0" xfId="0" applyNumberFormat="1" applyFont="1" applyFill="1" applyBorder="1" applyAlignment="1">
      <x:alignment horizontal="center" vertical="center"/>
    </x:xf>
    <x:xf numFmtId="0" fontId="8" fillId="3" borderId="9" xfId="0" applyNumberFormat="1" applyFont="1" applyFill="1" applyBorder="1" applyAlignment="1">
      <x:alignment vertical="center"/>
    </x:xf>
    <x:xf numFmtId="0" fontId="8" fillId="3" borderId="10" xfId="0" applyNumberFormat="1" applyFont="1" applyFill="1" applyBorder="1" applyAlignment="1">
      <x:alignment vertical="center"/>
    </x:xf>
    <x:xf numFmtId="0" fontId="8" fillId="3" borderId="11" xfId="0" applyNumberFormat="1" applyFont="1" applyFill="1" applyBorder="1" applyAlignment="1">
      <x:alignment vertical="center"/>
    </x:xf>
    <x:xf numFmtId="0" fontId="9" fillId="2" borderId="12" xfId="0" applyNumberFormat="1" applyFont="1" applyFill="1" applyBorder="1" applyAlignment="1">
      <x:alignment horizontal="center" vertical="center" wrapText="1"/>
    </x:xf>
    <x:xf numFmtId="200" fontId="10" fillId="6" borderId="13" xfId="0" applyNumberFormat="1" applyFont="1" applyFill="1" applyBorder="1" applyAlignment="1">
      <x:alignment horizontal="center" vertical="center"/>
    </x:xf>
    <x:xf numFmtId="0" fontId="9" fillId="2" borderId="14" xfId="0" applyNumberFormat="1" applyFont="1" applyFill="1" applyBorder="1" applyAlignment="1">
      <x:alignment horizontal="center" vertical="center" wrapText="1"/>
    </x:xf>
    <x:xf numFmtId="0" fontId="9" fillId="2" borderId="4" xfId="0" applyNumberFormat="1" applyFont="1" applyFill="1" applyBorder="1" applyAlignment="1">
      <x:alignment horizontal="center" vertical="center" wrapText="1"/>
    </x:xf>
    <x:xf numFmtId="200" fontId="10" fillId="6" borderId="4" xfId="0" applyNumberFormat="1" applyFont="1" applyFill="1" applyBorder="1" applyAlignment="1">
      <x:alignment horizontal="center" vertical="center"/>
    </x:xf>
    <x:xf numFmtId="200" fontId="10" fillId="6" borderId="15" xfId="0" applyNumberFormat="1" applyFont="1" applyFill="1" applyBorder="1" applyAlignment="1">
      <x:alignment horizontal="center" vertical="center"/>
    </x:xf>
    <x:xf numFmtId="203" fontId="4" fillId="0" borderId="4" xfId="0" applyNumberFormat="1" applyFont="1" applyFill="1" applyBorder="1" applyAlignment="1">
      <x:alignment vertical="center" wrapText="1"/>
    </x:xf>
    <x:xf numFmtId="203" fontId="4" fillId="0" borderId="5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9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4" fillId="3" borderId="13" xfId="0" applyNumberFormat="1" applyFont="1" applyFill="1" applyBorder="1"/>
    <x:xf numFmtId="0" fontId="4" fillId="3" borderId="14" xfId="0" applyNumberFormat="1" applyFont="1" applyFill="1" applyBorder="1"/>
    <x:xf numFmtId="0" fontId="4" fillId="3" borderId="4" xfId="0" applyNumberFormat="1" applyFont="1" applyFill="1" applyBorder="1"/>
    <x:xf numFmtId="0" fontId="4" fillId="3" borderId="15" xfId="0" applyNumberFormat="1" applyFont="1" applyFill="1" applyBorder="1"/>
    <x:xf numFmtId="0" fontId="4" fillId="3" borderId="9" xfId="0" applyNumberFormat="1" applyFont="1" applyFill="1" applyBorder="1" applyAlignment="1">
      <x:alignment wrapText="1"/>
    </x:xf>
    <x:xf numFmtId="0" fontId="4" fillId="3" borderId="10" xfId="0" applyNumberFormat="1" applyFont="1" applyFill="1" applyBorder="1" applyAlignment="1">
      <x:alignment wrapText="1"/>
    </x:xf>
    <x:xf numFmtId="0" fontId="4" fillId="3" borderId="11" xfId="0" applyNumberFormat="1" applyFont="1" applyFill="1" applyBorder="1" applyAlignment="1">
      <x:alignment wrapText="1"/>
    </x:xf>
    <x:xf numFmtId="0" fontId="4" fillId="3" borderId="12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13" xfId="0" applyNumberFormat="1" applyFont="1" applyFill="1" applyBorder="1" applyAlignment="1">
      <x:alignment wrapText="1"/>
    </x:xf>
    <x:xf numFmtId="0" fontId="4" fillId="3" borderId="14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4" fillId="3" borderId="15" xfId="0" applyNumberFormat="1" applyFont="1" applyFill="1" applyBorder="1" applyAlignment="1">
      <x:alignment wrapText="1"/>
    </x:xf>
    <x:xf numFmtId="0" fontId="4" fillId="3" borderId="9" xfId="0" applyNumberFormat="1" applyFont="1" applyFill="1" applyBorder="1" applyAlignment="1">
      <x:alignment vertical="center" wrapText="1"/>
    </x:xf>
    <x:xf numFmtId="0" fontId="4" fillId="3" borderId="10" xfId="0" applyNumberFormat="1" applyFont="1" applyFill="1" applyBorder="1" applyAlignment="1">
      <x:alignment vertical="center" wrapText="1"/>
    </x:xf>
    <x:xf numFmtId="0" fontId="4" fillId="3" borderId="11" xfId="0" applyNumberFormat="1" applyFont="1" applyFill="1" applyBorder="1" applyAlignment="1">
      <x:alignment vertical="center" wrapText="1"/>
    </x:xf>
    <x:xf numFmtId="0" fontId="4" fillId="3" borderId="12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3" xfId="0" applyNumberFormat="1" applyFont="1" applyFill="1" applyBorder="1" applyAlignment="1">
      <x:alignment vertical="center" wrapText="1"/>
    </x:xf>
    <x:xf numFmtId="0" fontId="4" fillId="3" borderId="14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15" xfId="0" applyNumberFormat="1" applyFont="1" applyFill="1" applyBorder="1" applyAlignment="1">
      <x:alignment vertical="center" wrapText="1"/>
    </x:xf>
    <x:xf numFmtId="204" fontId="4" fillId="0" borderId="4" xfId="0" applyNumberFormat="1" applyFont="1" applyFill="1" applyBorder="1" applyAlignment="1">
      <x:alignment vertical="center" wrapText="1"/>
    </x:xf>
    <x:xf numFmtId="201" fontId="4" fillId="0" borderId="5" xfId="0" applyNumberFormat="1" applyFont="1" applyFill="1" applyBorder="1" applyAlignment="1">
      <x:alignment vertical="center" wrapText="1"/>
    </x:xf>
    <x:xf numFmtId="0" fontId="11" fillId="2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/>
    <x:xf numFmtId="0" fontId="13" fillId="3" borderId="0" xfId="0" applyNumberFormat="1" applyFont="1" applyFill="1" applyBorder="1" applyAlignment="1">
      <x:alignment vertical="center" wrapText="1"/>
    </x:xf>
    <x:xf numFmtId="0" fontId="14" fillId="7" borderId="0" xfId="0" applyNumberFormat="1" applyFont="1" applyFill="1" applyBorder="1" applyAlignment="1">
      <x:alignment vertical="center"/>
    </x:xf>
    <x:xf numFmtId="0" fontId="15" fillId="3" borderId="9" xfId="0" applyNumberFormat="1" applyFont="1" applyFill="1" applyBorder="1" applyAlignment="1">
      <x:alignment vertical="center"/>
    </x:xf>
    <x:xf numFmtId="0" fontId="15" fillId="3" borderId="10" xfId="0" applyNumberFormat="1" applyFont="1" applyFill="1" applyBorder="1" applyAlignment="1">
      <x:alignment vertical="center"/>
    </x:xf>
    <x:xf numFmtId="0" fontId="15" fillId="3" borderId="11" xfId="0" applyNumberFormat="1" applyFont="1" applyFill="1" applyBorder="1" applyAlignment="1">
      <x:alignment vertical="center"/>
    </x:xf>
    <x:xf numFmtId="0" fontId="16" fillId="2" borderId="12" xfId="0" applyNumberFormat="1" applyFont="1" applyFill="1" applyBorder="1" applyAlignment="1">
      <x:alignment horizontal="center" vertical="center" wrapText="1"/>
    </x:xf>
    <x:xf numFmtId="0" fontId="16" fillId="2" borderId="0" xfId="0" applyNumberFormat="1" applyFont="1" applyFill="1" applyBorder="1" applyAlignment="1">
      <x:alignment horizontal="center" vertical="center" wrapText="1"/>
    </x:xf>
    <x:xf numFmtId="200" fontId="17" fillId="6" borderId="0" xfId="0" applyNumberFormat="1" applyFont="1" applyFill="1" applyBorder="1" applyAlignment="1">
      <x:alignment horizontal="center" vertical="center"/>
    </x:xf>
    <x:xf numFmtId="200" fontId="17" fillId="6" borderId="13" xfId="0" applyNumberFormat="1" applyFont="1" applyFill="1" applyBorder="1" applyAlignment="1">
      <x:alignment horizontal="center" vertical="center"/>
    </x:xf>
    <x:xf numFmtId="0" fontId="16" fillId="2" borderId="14" xfId="0" applyNumberFormat="1" applyFont="1" applyFill="1" applyBorder="1" applyAlignment="1">
      <x:alignment horizontal="center" vertical="center" wrapText="1"/>
    </x:xf>
    <x:xf numFmtId="0" fontId="16" fillId="2" borderId="4" xfId="0" applyNumberFormat="1" applyFont="1" applyFill="1" applyBorder="1" applyAlignment="1">
      <x:alignment horizontal="center" vertical="center" wrapText="1"/>
    </x:xf>
    <x:xf numFmtId="200" fontId="17" fillId="6" borderId="4" xfId="0" applyNumberFormat="1" applyFont="1" applyFill="1" applyBorder="1" applyAlignment="1">
      <x:alignment horizontal="center" vertical="center"/>
    </x:xf>
    <x:xf numFmtId="200" fontId="17" fillId="6" borderId="15" xfId="0" applyNumberFormat="1" applyFont="1" applyFill="1" applyBorder="1" applyAlignment="1">
      <x:alignment horizontal="center" vertical="center"/>
    </x:xf>
    <x:xf numFmtId="0" fontId="18" fillId="2" borderId="1" xfId="0" applyNumberFormat="1" applyFont="1" applyFill="1" applyBorder="1" applyAlignment="1">
      <x:alignment vertical="center" wrapText="1"/>
    </x:xf>
    <x:xf numFmtId="0" fontId="18" fillId="2" borderId="2" xfId="0" applyNumberFormat="1" applyFont="1" applyFill="1" applyBorder="1" applyAlignment="1">
      <x:alignment vertical="center" wrapText="1"/>
    </x:xf>
    <x:xf numFmtId="0" fontId="18" fillId="2" borderId="3" xfId="0" applyNumberFormat="1" applyFont="1" applyFill="1" applyBorder="1" applyAlignment="1">
      <x:alignment vertical="center" wrapText="1"/>
    </x:xf>
    <x:xf numFmtId="0" fontId="19" fillId="0" borderId="4" xfId="0" applyNumberFormat="1" applyFont="1" applyFill="1" applyBorder="1" applyAlignment="1">
      <x:alignment vertical="center" wrapText="1"/>
    </x:xf>
    <x:xf numFmtId="200" fontId="19" fillId="0" borderId="4" xfId="0" applyNumberFormat="1" applyFont="1" applyFill="1" applyBorder="1" applyAlignment="1">
      <x:alignment vertical="center" wrapText="1"/>
    </x:xf>
    <x:xf numFmtId="203" fontId="19" fillId="0" borderId="4" xfId="0" applyNumberFormat="1" applyFont="1" applyFill="1" applyBorder="1" applyAlignment="1">
      <x:alignment vertical="center" wrapText="1"/>
    </x:xf>
    <x:xf numFmtId="0" fontId="19" fillId="3" borderId="9" xfId="0" applyNumberFormat="1" applyFont="1" applyFill="1" applyBorder="1" applyAlignment="1">
      <x:alignment vertical="center" wrapText="1"/>
    </x:xf>
    <x:xf numFmtId="0" fontId="19" fillId="3" borderId="10" xfId="0" applyNumberFormat="1" applyFont="1" applyFill="1" applyBorder="1" applyAlignment="1">
      <x:alignment vertical="center" wrapText="1"/>
    </x:xf>
    <x:xf numFmtId="0" fontId="19" fillId="3" borderId="11" xfId="0" applyNumberFormat="1" applyFont="1" applyFill="1" applyBorder="1" applyAlignment="1">
      <x:alignment vertical="center" wrapText="1"/>
    </x:xf>
    <x:xf numFmtId="0" fontId="19" fillId="0" borderId="5" xfId="0" applyNumberFormat="1" applyFont="1" applyFill="1" applyBorder="1" applyAlignment="1">
      <x:alignment vertical="center" wrapText="1"/>
    </x:xf>
    <x:xf numFmtId="200" fontId="19" fillId="0" borderId="5" xfId="0" applyNumberFormat="1" applyFont="1" applyFill="1" applyBorder="1" applyAlignment="1">
      <x:alignment vertical="center" wrapText="1"/>
    </x:xf>
    <x:xf numFmtId="203" fontId="19" fillId="0" borderId="5" xfId="0" applyNumberFormat="1" applyFont="1" applyFill="1" applyBorder="1" applyAlignment="1">
      <x:alignment vertical="center" wrapText="1"/>
    </x:xf>
    <x:xf numFmtId="0" fontId="19" fillId="3" borderId="12" xfId="0" applyNumberFormat="1" applyFont="1" applyFill="1" applyBorder="1" applyAlignment="1">
      <x:alignment vertical="center" wrapText="1"/>
    </x:xf>
    <x:xf numFmtId="0" fontId="19" fillId="3" borderId="0" xfId="0" applyNumberFormat="1" applyFont="1" applyFill="1" applyBorder="1" applyAlignment="1">
      <x:alignment vertical="center" wrapText="1"/>
    </x:xf>
    <x:xf numFmtId="0" fontId="19" fillId="3" borderId="13" xfId="0" applyNumberFormat="1" applyFont="1" applyFill="1" applyBorder="1" applyAlignment="1">
      <x:alignment vertical="center" wrapText="1"/>
    </x:xf>
    <x:xf numFmtId="0" fontId="19" fillId="3" borderId="14" xfId="0" applyNumberFormat="1" applyFont="1" applyFill="1" applyBorder="1" applyAlignment="1">
      <x:alignment vertical="center" wrapText="1"/>
    </x:xf>
    <x:xf numFmtId="0" fontId="19" fillId="3" borderId="4" xfId="0" applyNumberFormat="1" applyFont="1" applyFill="1" applyBorder="1" applyAlignment="1">
      <x:alignment vertical="center" wrapText="1"/>
    </x:xf>
    <x:xf numFmtId="0" fontId="19" fillId="3" borderId="15" xfId="0" applyNumberFormat="1" applyFont="1" applyFill="1" applyBorder="1" applyAlignment="1">
      <x:alignment vertical="center" wrapText="1"/>
    </x:xf>
    <x:xf numFmtId="0" fontId="19" fillId="4" borderId="4" xfId="0" applyNumberFormat="1" applyFont="1" applyFill="1" applyBorder="1" applyAlignment="1">
      <x:alignment vertical="center" wrapText="1"/>
    </x:xf>
    <x:xf numFmtId="200" fontId="20" fillId="5" borderId="4" xfId="0" applyNumberFormat="1" applyFont="1" applyFill="1" applyBorder="1" applyAlignment="1">
      <x:alignment vertical="center" wrapText="1"/>
    </x:xf>
    <x:xf numFmtId="0" fontId="20" fillId="5" borderId="4" xfId="0" applyNumberFormat="1" applyFont="1" applyFill="1" applyBorder="1" applyAlignment="1">
      <x:alignment vertical="center" wrapText="1"/>
    </x:xf>
    <x:xf numFmtId="200" fontId="20" fillId="5" borderId="5" xfId="0" applyNumberFormat="1" applyFont="1" applyFill="1" applyBorder="1" applyAlignment="1">
      <x:alignment vertical="center" wrapText="1"/>
    </x:xf>
    <x:xf numFmtId="0" fontId="20" fillId="5" borderId="5" xfId="0" applyNumberFormat="1" applyFont="1" applyFill="1" applyBorder="1" applyAlignment="1">
      <x:alignment vertical="center" wrapText="1"/>
    </x:xf>
    <x:xf numFmtId="0" fontId="19" fillId="4" borderId="5" xfId="0" applyNumberFormat="1" applyFont="1" applyFill="1" applyBorder="1" applyAlignment="1">
      <x:alignment vertical="center" wrapText="1"/>
    </x:xf>
    <x:xf numFmtId="201" fontId="20" fillId="5" borderId="5" xfId="0" applyNumberFormat="1" applyFont="1" applyFill="1" applyBorder="1" applyAlignment="1">
      <x:alignment vertical="center" wrapText="1"/>
    </x:xf>
    <x:xf numFmtId="202" fontId="20" fillId="5" borderId="5" xfId="0" applyNumberFormat="1" applyFont="1" applyFill="1" applyBorder="1" applyAlignment="1">
      <x:alignment vertical="center" wrapText="1"/>
    </x:xf>
    <x:xf numFmtId="200" fontId="12" fillId="0" borderId="0" xfId="0" applyNumberFormat="1" applyFont="1" applyFill="1" applyBorder="1"/>
    <x:xf numFmtId="0" fontId="21" fillId="6" borderId="6" xfId="0" applyNumberFormat="1" applyFont="1" applyFill="1" applyBorder="1"/>
    <x:xf numFmtId="0" fontId="21" fillId="6" borderId="7" xfId="0" applyNumberFormat="1" applyFont="1" applyFill="1" applyBorder="1"/>
    <x:xf numFmtId="200" fontId="21" fillId="6" borderId="8" xfId="0" applyNumberFormat="1" applyFont="1" applyFill="1" applyBorder="1"/>
    <x:xf numFmtId="200" fontId="21" fillId="6" borderId="7" xfId="0" applyNumberFormat="1" applyFont="1" applyFill="1" applyBorder="1"/>
    <x:xf numFmtId="0" fontId="21" fillId="6" borderId="8" xfId="0" applyNumberFormat="1" applyFont="1" applyFill="1" applyBorder="1"/>
    <x:xf numFmtId="204" fontId="19" fillId="0" borderId="4" xfId="0" applyNumberFormat="1" applyFont="1" applyFill="1" applyBorder="1" applyAlignment="1">
      <x:alignment vertical="center" wrapText="1"/>
    </x:xf>
    <x:xf numFmtId="201" fontId="19" fillId="0" borderId="5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304F3E"/>
      </x:font>
      <x:fill>
        <x:patternFill patternType="solid">
          <x:bgColor rgb="FFE2F0D9"/>
        </x:patternFill>
      </x:fill>
    </x:dxf>
    <x:dxf>
      <x:font>
        <x:b/>
        <x:color rgb="FFA64B45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aea36817c74b79" /><Relationship Type="http://schemas.openxmlformats.org/officeDocument/2006/relationships/theme" Target="/xl/theme/theme1.xml" Id="Raaae3551bf6c4e0d" /><Relationship Type="http://schemas.openxmlformats.org/officeDocument/2006/relationships/sharedStrings" Target="/xl/sharedStrings.xml" Id="Rff228a3b485f43b0" /><Relationship Type="http://schemas.openxmlformats.org/officeDocument/2006/relationships/worksheet" Target="/xl/worksheets/sheet1.xml" Id="Rbd9bb90d1b2146bb" /><Relationship Type="http://schemas.openxmlformats.org/officeDocument/2006/relationships/worksheet" Target="/xl/worksheets/sheet2.xml" Id="R9fe97bdf68a841d9" /><Relationship Type="http://schemas.openxmlformats.org/officeDocument/2006/relationships/worksheet" Target="/xl/worksheets/sheet3.xml" Id="R518d86ccde854df4" /><Relationship Type="http://schemas.openxmlformats.org/officeDocument/2006/relationships/worksheet" Target="/xl/worksheets/sheet4.xml" Id="Rca654cd280ca4b67" /><Relationship Type="http://schemas.openxmlformats.org/officeDocument/2006/relationships/worksheet" Target="/xl/worksheets/sheet5.xml" Id="Rcd7d4098518a4f61" /><Relationship Type="http://schemas.openxmlformats.org/officeDocument/2006/relationships/worksheet" Target="/xl/worksheets/sheet6.xml" Id="R5fad07f75f0940cd" /><Relationship Type="http://schemas.openxmlformats.org/officeDocument/2006/relationships/worksheet" Target="/xl/worksheets/sheet7.xml" Id="R6fa7d0f1a6414a72" /><Relationship Type="http://schemas.microsoft.com/office/2017/10/relationships/person" Target="/xl/persons/person.xml" Id="R2805e61b6cd841f1" /></Relationships>
</file>

<file path=xl/persons/person.xml><?xml version="1.0" encoding="utf-8"?>
<xltc:personList xmlns:xltc="http://schemas.microsoft.com/office/spreadsheetml/2018/threadedcomments">
  <xltc:person displayName="User" id="{19A262B3-B909-4A24-92C8-B47C26BA2B7B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C7" dT="2026-08-05T01:42:40.737" personId="{19A262B3-B909-4A24-92C8-B47C26BA2B7B}" id="{AF2231CF-6495-6262-D76E-78448C6B60A4}">
    <xltc:text>Source: https://www.aikido.dev/pricing | Published Basic plan USD 300/month; converted at the planning exchange rate.</xltc:text>
  </xltc:threadedComment>
  <xltc:threadedComment ref="C10" dT="2026-08-05T01:42:40.737" personId="{19A262B3-B909-4A24-92C8-B47C26BA2B7B}" id="{4652C75B-85B2-E1DD-41DC-18326A7142D9}">
    <xltc:text>Assumption: Starter Azure budget based on the user's USD 200/month baseline. Confirm regional Azure sizing before commitment.</xltc:text>
  </xltc:threadedComment>
  <xltc:threadedComment ref="C18" dT="2026-08-05T01:42:40.737" personId="{19A262B3-B909-4A24-92C8-B47C26BA2B7B}" id="{54A33B85-3C2D-8B44-62C1-FA2118E6433D}">
    <xltc:text>Assumption: Planning-only exchange rate. Replace with the procurement-date rate.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139f0ddf3f0340ed" /><Relationship Type="http://schemas.openxmlformats.org/officeDocument/2006/relationships/vmlDrawing" Target="/xl/drawings/vmldrawing.vml" Id="R9b961ce687c54f19" /><Relationship Type="http://schemas.microsoft.com/office/2017/10/relationships/threadedComment" Target="/xl/threadedcomments/threadedcomment.xml" Id="Rbe57a42572154e0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8" hidden="0" customWidth="1"/>
    <x:col min="4" max="4" width="18" hidden="0" customWidth="1"/>
    <x:col min="5" max="5" width="4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34" customHeight="1">
      <x:c r="A1" s="98" t="str">
        <x:v>Experience Manager - Commercial Cost Model</x:v>
      </x:c>
      <x:c r="B1" s="99"/>
      <x:c r="C1" s="99"/>
      <x:c r="D1" s="99"/>
      <x:c r="E1" s="99"/>
      <x:c r="F1" s="99"/>
      <x:c r="G1" s="99"/>
      <x:c r="H1" s="99"/>
    </x:row>
    <x:row r="2" ht="30" customHeight="1">
      <x:c r="A2" s="100" t="str">
        <x:v>Editable planning model | Nigerian Naira | Version 1.5 | 05 August 2026</x:v>
      </x:c>
      <x:c r="B2" s="99"/>
      <x:c r="C2" s="99"/>
      <x:c r="D2" s="99"/>
      <x:c r="E2" s="99"/>
      <x:c r="F2" s="99"/>
      <x:c r="G2" s="99"/>
      <x:c r="H2" s="99"/>
    </x:row>
    <x:row r="3">
      <x:c r="A3" s="99"/>
      <x:c r="B3" s="99"/>
      <x:c r="C3" s="99"/>
      <x:c r="D3" s="99"/>
      <x:c r="E3" s="99"/>
      <x:c r="F3" s="99"/>
      <x:c r="G3" s="99"/>
      <x:c r="H3" s="99"/>
    </x:row>
    <x:row r="4" ht="24" customHeight="1">
      <x:c r="A4" s="101" t="str">
        <x:v>Headline pricing</x:v>
      </x:c>
      <x:c r="B4" s="101"/>
      <x:c r="C4" s="101"/>
      <x:c r="D4" s="101"/>
      <x:c r="E4" s="101"/>
      <x:c r="F4" s="101"/>
      <x:c r="G4" s="101"/>
      <x:c r="H4" s="101"/>
    </x:row>
    <x:row r="5" ht="24" customHeight="1">
      <x:c r="A5" s="102" t="str">
        <x:v>First 2 months + launch</x:v>
      </x:c>
      <x:c r="B5" s="103"/>
      <x:c r="C5" s="103"/>
      <x:c r="D5" s="103"/>
      <x:c r="E5" s="103" t="str">
        <x:v>Your ongoing monthly fee</x:v>
      </x:c>
      <x:c r="F5" s="103"/>
      <x:c r="G5" s="103"/>
      <x:c r="H5" s="104"/>
    </x:row>
    <x:row r="6" ht="34" customHeight="1">
      <x:c r="A6" s="105" t="str">
        <x:f>"NGN "&amp;TEXT(SUM('Initial Costs'!F5:F7)+SUM('Monthly Costs'!E7:E11)*'Assumptions'!C16+'Assumptions'!C13,"#,##0")&amp;" - NGN "&amp;TEXT(SUM('Initial Costs'!F5:F7)+SUM('Monthly Costs'!E7:E11)*'Assumptions'!C16+'Assumptions'!C14,"#,##0")</x:f>
        <x:v>NGN 15,655,000 - NGN 19,155,000</x:v>
      </x:c>
      <x:c r="B6" s="106"/>
      <x:c r="C6" s="106"/>
      <x:c r="D6" s="106"/>
      <x:c r="E6" s="107" t="n">
        <x:f>'Monthly Costs'!E5</x:f>
        <x:v>3000000</x:v>
      </x:c>
      <x:c r="F6" s="107"/>
      <x:c r="G6" s="107"/>
      <x:c r="H6" s="108"/>
    </x:row>
    <x:row r="7" ht="34" customHeight="1">
      <x:c r="A7" s="109"/>
      <x:c r="B7" s="110"/>
      <x:c r="C7" s="110"/>
      <x:c r="D7" s="110"/>
      <x:c r="E7" s="111"/>
      <x:c r="F7" s="111"/>
      <x:c r="G7" s="111"/>
      <x:c r="H7" s="112"/>
    </x:row>
    <x:row r="8">
      <x:c r="A8" s="99"/>
      <x:c r="B8" s="99"/>
      <x:c r="C8" s="99"/>
      <x:c r="D8" s="99"/>
      <x:c r="E8" s="99"/>
      <x:c r="F8" s="99"/>
      <x:c r="G8" s="99"/>
      <x:c r="H8" s="99"/>
    </x:row>
    <x:row r="9">
      <x:c r="A9" s="99"/>
      <x:c r="B9" s="99"/>
      <x:c r="C9" s="99"/>
      <x:c r="D9" s="99"/>
      <x:c r="E9" s="99"/>
      <x:c r="F9" s="99"/>
      <x:c r="G9" s="99"/>
      <x:c r="H9" s="99"/>
    </x:row>
    <x:row r="10" ht="24" customHeight="1">
      <x:c r="A10" s="101" t="str">
        <x:v>Recurring monthly breakdown</x:v>
      </x:c>
      <x:c r="B10" s="101"/>
      <x:c r="C10" s="101"/>
      <x:c r="D10" s="101"/>
      <x:c r="E10" s="101"/>
      <x:c r="F10" s="101"/>
      <x:c r="G10" s="101"/>
      <x:c r="H10" s="101"/>
    </x:row>
    <x:row r="11" ht="28" customHeight="1">
      <x:c r="A11" s="113" t="str">
        <x:v>Cost item</x:v>
      </x:c>
      <x:c r="B11" s="114" t="str">
        <x:v>Category</x:v>
      </x:c>
      <x:c r="C11" s="114" t="str">
        <x:v>Monthly cost</x:v>
      </x:c>
      <x:c r="D11" s="115" t="str">
        <x:v>% of total</x:v>
      </x:c>
      <x:c r="E11" s="99"/>
      <x:c r="F11" s="113" t="str">
        <x:v>Management notes</x:v>
      </x:c>
      <x:c r="G11" s="114"/>
      <x:c r="H11" s="115"/>
    </x:row>
    <x:row r="12" ht="46" customHeight="1">
      <x:c r="A12" s="116" t="str">
        <x:f>'Monthly Costs'!A5</x:f>
        <x:v>Service lead and managed support</x:v>
      </x:c>
      <x:c r="B12" s="116" t="str">
        <x:f>'Monthly Costs'!B5</x:f>
        <x:v>People</x:v>
      </x:c>
      <x:c r="C12" s="117" t="n">
        <x:f>'Monthly Costs'!E5</x:f>
        <x:v>3000000</x:v>
      </x:c>
      <x:c r="D12" s="118" t="n">
        <x:f>IF('Monthly Costs'!E13=0,0,C12/'Monthly Costs'!E13)</x:f>
        <x:v>0.6928406466512702</x:v>
      </x:c>
      <x:c r="E12" s="99"/>
      <x:c r="F12" s="119" t="str">
        <x:v>The initial range includes NGN 12.0m fees, NGN 495k Aikido, NGN 660k starter Azure and a NGN 2.5m-6.0m launch package.</x:v>
      </x:c>
      <x:c r="G12" s="120"/>
      <x:c r="H12" s="121"/>
    </x:row>
    <x:row r="13" ht="46" customHeight="1">
      <x:c r="A13" s="122" t="str">
        <x:f>'Monthly Costs'!A6</x:f>
        <x:v>Developer/UI/UX service (Developers)</x:v>
      </x:c>
      <x:c r="B13" s="122" t="str">
        <x:f>'Monthly Costs'!B6</x:f>
        <x:v>People</x:v>
      </x:c>
      <x:c r="C13" s="123" t="n">
        <x:f>'Monthly Costs'!E6</x:f>
        <x:v>1000000</x:v>
      </x:c>
      <x:c r="D13" s="124" t="n">
        <x:f>IF('Monthly Costs'!E13=0,0,C13/'Monthly Costs'!E13)</x:f>
        <x:v>0.23094688221709006</x:v>
      </x:c>
      <x:c r="E13" s="99"/>
      <x:c r="F13" s="125" t="str">
        <x:v>Your monthly earnings headline is NGN 3.0m for service lead and managed support after acceptance.</x:v>
      </x:c>
      <x:c r="G13" s="126"/>
      <x:c r="H13" s="127"/>
    </x:row>
    <x:row r="14" ht="46" customHeight="1">
      <x:c r="A14" s="122" t="str">
        <x:f>'Monthly Costs'!A7</x:f>
        <x:v>Starter Azure platform</x:v>
      </x:c>
      <x:c r="B14" s="122" t="str">
        <x:f>'Monthly Costs'!B7</x:f>
        <x:v>Infrastructure</x:v>
      </x:c>
      <x:c r="C14" s="123" t="n">
        <x:f>'Monthly Costs'!E7</x:f>
        <x:v>330000</x:v>
      </x:c>
      <x:c r="D14" s="124" t="n">
        <x:f>IF('Monthly Costs'!E13=0,0,C14/'Monthly Costs'!E13)</x:f>
        <x:v>0.07621247113163972</x:v>
      </x:c>
      <x:c r="E14" s="99"/>
      <x:c r="F14" s="128" t="str">
        <x:v>Developer/UI/UX, cloud upgrades and other third-party costs remain supporting lines in the detailed tabs.</x:v>
      </x:c>
      <x:c r="G14" s="129"/>
      <x:c r="H14" s="130"/>
    </x:row>
    <x:row r="15">
      <x:c r="A15" s="122" t="str">
        <x:f>'Monthly Costs'!A8</x:f>
        <x:v>Production Azure - low</x:v>
      </x:c>
      <x:c r="B15" s="122" t="str">
        <x:f>'Monthly Costs'!B8</x:f>
        <x:v>Infrastructure</x:v>
      </x:c>
      <x:c r="C15" s="123" t="n">
        <x:f>'Monthly Costs'!E8</x:f>
        <x:v>0</x:v>
      </x:c>
      <x:c r="D15" s="124" t="n">
        <x:f>IF('Monthly Costs'!E13=0,0,C15/'Monthly Costs'!E13)</x:f>
        <x:v>0</x:v>
      </x:c>
      <x:c r="E15" s="99"/>
      <x:c r="F15" s="99"/>
      <x:c r="G15" s="99"/>
      <x:c r="H15" s="99"/>
    </x:row>
    <x:row r="16">
      <x:c r="A16" s="122" t="str">
        <x:f>'Monthly Costs'!A9</x:f>
        <x:v>Production Azure - high</x:v>
      </x:c>
      <x:c r="B16" s="122" t="str">
        <x:f>'Monthly Costs'!B9</x:f>
        <x:v>Infrastructure</x:v>
      </x:c>
      <x:c r="C16" s="123" t="n">
        <x:f>'Monthly Costs'!E9</x:f>
        <x:v>0</x:v>
      </x:c>
      <x:c r="D16" s="124" t="n">
        <x:f>IF('Monthly Costs'!E13=0,0,C16/'Monthly Costs'!E13)</x:f>
        <x:v>0</x:v>
      </x:c>
      <x:c r="E16" s="99"/>
      <x:c r="F16" s="99"/>
      <x:c r="G16" s="99"/>
      <x:c r="H16" s="99"/>
    </x:row>
    <x:row r="17">
      <x:c r="A17" s="122" t="str">
        <x:f>'Monthly Costs'!A10</x:f>
        <x:v>Additional monthly cost 1</x:v>
      </x:c>
      <x:c r="B17" s="122" t="str">
        <x:f>'Monthly Costs'!B10</x:f>
        <x:v>Other</x:v>
      </x:c>
      <x:c r="C17" s="123" t="n">
        <x:f>'Monthly Costs'!E10</x:f>
        <x:v>0</x:v>
      </x:c>
      <x:c r="D17" s="124" t="n">
        <x:f>IF('Monthly Costs'!E13=0,0,C17/'Monthly Costs'!E13)</x:f>
        <x:v>0</x:v>
      </x:c>
      <x:c r="E17" s="99"/>
      <x:c r="F17" s="99"/>
      <x:c r="G17" s="99"/>
      <x:c r="H17" s="99"/>
    </x:row>
    <x:row r="18">
      <x:c r="A18" s="122" t="str">
        <x:f>'Monthly Costs'!A11</x:f>
        <x:v>Additional monthly cost 2</x:v>
      </x:c>
      <x:c r="B18" s="122" t="str">
        <x:f>'Monthly Costs'!B11</x:f>
        <x:v>Other</x:v>
      </x:c>
      <x:c r="C18" s="123" t="n">
        <x:f>'Monthly Costs'!E11</x:f>
        <x:v>0</x:v>
      </x:c>
      <x:c r="D18" s="124" t="n">
        <x:f>IF('Monthly Costs'!E13=0,0,C18/'Monthly Costs'!E13)</x:f>
        <x:v>0</x:v>
      </x:c>
      <x:c r="E18" s="99"/>
      <x:c r="F18" s="99"/>
      <x:c r="G18" s="99"/>
      <x:c r="H18" s="99"/>
    </x:row>
  </x:sheetData>
  <x:mergeCells>
    <x:mergeCell ref="A1:H1"/>
    <x:mergeCell ref="A2:H2"/>
    <x:mergeCell ref="A4:H4"/>
    <x:mergeCell ref="A5:D5"/>
    <x:mergeCell ref="A6:D7"/>
    <x:mergeCell ref="E5:H5"/>
    <x:mergeCell ref="E6:H7"/>
    <x:mergeCell ref="A10:H10"/>
    <x:mergeCell ref="F11:H11"/>
    <x:mergeCell ref="F12:H12"/>
    <x:mergeCell ref="F13:H13"/>
    <x:mergeCell ref="F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6" hidden="0" customWidth="1"/>
    <x:col min="3" max="3" width="17" hidden="0" customWidth="1"/>
    <x:col min="4" max="4" width="15" hidden="0" customWidth="1"/>
    <x:col min="5" max="5" width="13" hidden="0" customWidth="1"/>
    <x:col min="6" max="6" width="44" hidden="0" customWidth="1"/>
  </x:cols>
  <x:sheetData>
    <x:row r="1" ht="34" customHeight="1">
      <x:c r="A1" s="98" t="str">
        <x:v>Experience Manager - Cost Assumptions</x:v>
      </x:c>
      <x:c r="B1" s="99"/>
      <x:c r="C1" s="99"/>
      <x:c r="D1" s="99"/>
      <x:c r="E1" s="99"/>
      <x:c r="F1" s="99"/>
    </x:row>
    <x:row r="2" ht="30" customHeight="1">
      <x:c r="A2" s="100" t="str">
        <x:v>Blue cells are editable inputs. Formula sheets update automatically. Version 1.5 | 05 August 2026</x:v>
      </x:c>
      <x:c r="B2" s="99"/>
      <x:c r="C2" s="99"/>
      <x:c r="D2" s="99"/>
      <x:c r="E2" s="99"/>
      <x:c r="F2" s="99"/>
    </x:row>
    <x:row r="3">
      <x:c r="A3" s="99"/>
      <x:c r="B3" s="99"/>
      <x:c r="C3" s="99"/>
      <x:c r="D3" s="99"/>
      <x:c r="E3" s="99"/>
      <x:c r="F3" s="99"/>
    </x:row>
    <x:row r="4" ht="28" customHeight="1">
      <x:c r="A4" s="113" t="str">
        <x:v>Category</x:v>
      </x:c>
      <x:c r="B4" s="114" t="str">
        <x:v>Cost item</x:v>
      </x:c>
      <x:c r="C4" s="114" t="str">
        <x:v>Value</x:v>
      </x:c>
      <x:c r="D4" s="114" t="str">
        <x:v>Unit</x:v>
      </x:c>
      <x:c r="E4" s="114" t="str">
        <x:v>Include (1/0)</x:v>
      </x:c>
      <x:c r="F4" s="115" t="str">
        <x:v>Notes / source</x:v>
      </x:c>
    </x:row>
    <x:row r="5">
      <x:c r="A5" s="131" t="str">
        <x:v>Initial</x:v>
      </x:c>
      <x:c r="B5" s="131" t="str">
        <x:v>Month 1 professional services</x:v>
      </x:c>
      <x:c r="C5" s="132" t="n">
        <x:v>7000000</x:v>
      </x:c>
      <x:c r="D5" s="133" t="str">
        <x:v>one-off</x:v>
      </x:c>
      <x:c r="E5" s="133" t="n">
        <x:v>1</x:v>
      </x:c>
      <x:c r="F5" s="131" t="str">
        <x:v>Production readiness and packaging</x:v>
      </x:c>
    </x:row>
    <x:row r="6">
      <x:c r="A6" s="122" t="str">
        <x:v>Initial</x:v>
      </x:c>
      <x:c r="B6" s="122" t="str">
        <x:v>Month 2 professional services</x:v>
      </x:c>
      <x:c r="C6" s="134" t="n">
        <x:v>5000000</x:v>
      </x:c>
      <x:c r="D6" s="135" t="str">
        <x:v>one-off</x:v>
      </x:c>
      <x:c r="E6" s="135" t="n">
        <x:v>1</x:v>
      </x:c>
      <x:c r="F6" s="122" t="str">
        <x:v>Client implementation and go-live</x:v>
      </x:c>
    </x:row>
    <x:row r="7">
      <x:c r="A7" s="136" t="str">
        <x:v>Security</x:v>
      </x:c>
      <x:c r="B7" s="136" t="str">
        <x:v>Aikido Basic - one month</x:v>
      </x:c>
      <x:c r="C7" s="134" t="n">
        <x:v>495000</x:v>
      </x:c>
      <x:c r="D7" s="135" t="str">
        <x:v>one-off</x:v>
      </x:c>
      <x:c r="E7" s="135" t="n">
        <x:v>1</x:v>
      </x:c>
      <x:c r="F7" s="136" t="str">
        <x:v>USD 300/month converted at planning FX</x:v>
      </x:c>
    </x:row>
    <x:row r="8">
      <x:c r="A8" s="122" t="str">
        <x:v>Recurring</x:v>
      </x:c>
      <x:c r="B8" s="122" t="str">
        <x:v>Service lead and managed support</x:v>
      </x:c>
      <x:c r="C8" s="134" t="n">
        <x:v>3000000</x:v>
      </x:c>
      <x:c r="D8" s="135" t="str">
        <x:v>per month</x:v>
      </x:c>
      <x:c r="E8" s="135" t="n">
        <x:v>1</x:v>
      </x:c>
      <x:c r="F8" s="122" t="str">
        <x:v>Ongoing ownership, support and continuous delivery</x:v>
      </x:c>
    </x:row>
    <x:row r="9">
      <x:c r="A9" s="136" t="str">
        <x:v>Recurring</x:v>
      </x:c>
      <x:c r="B9" s="136" t="str">
        <x:v>Developer/UI/UX service (Developers)</x:v>
      </x:c>
      <x:c r="C9" s="134" t="n">
        <x:v>1000000</x:v>
      </x:c>
      <x:c r="D9" s="135" t="str">
        <x:v>per month</x:v>
      </x:c>
      <x:c r="E9" s="135" t="n">
        <x:v>1</x:v>
      </x:c>
      <x:c r="F9" s="136" t="str">
        <x:v>Development, UI/UX, testing and release support</x:v>
      </x:c>
    </x:row>
    <x:row r="10">
      <x:c r="A10" s="122" t="str">
        <x:v>Infrastructure</x:v>
      </x:c>
      <x:c r="B10" s="122" t="str">
        <x:v>Starter Azure platform</x:v>
      </x:c>
      <x:c r="C10" s="134" t="n">
        <x:v>330000</x:v>
      </x:c>
      <x:c r="D10" s="135" t="str">
        <x:v>per month</x:v>
      </x:c>
      <x:c r="E10" s="135" t="n">
        <x:v>1</x:v>
      </x:c>
      <x:c r="F10" s="122" t="str">
        <x:v>USD 200/month planning baseline</x:v>
      </x:c>
    </x:row>
    <x:row r="11">
      <x:c r="A11" s="136" t="str">
        <x:v>Infrastructure</x:v>
      </x:c>
      <x:c r="B11" s="136" t="str">
        <x:v>Production Azure - low</x:v>
      </x:c>
      <x:c r="C11" s="134" t="n">
        <x:v>500000</x:v>
      </x:c>
      <x:c r="D11" s="135" t="str">
        <x:v>per month</x:v>
      </x:c>
      <x:c r="E11" s="135" t="n">
        <x:v>0</x:v>
      </x:c>
      <x:c r="F11" s="136" t="str">
        <x:v>Use instead of starter baseline when selected</x:v>
      </x:c>
    </x:row>
    <x:row r="12">
      <x:c r="A12" s="122" t="str">
        <x:v>Infrastructure</x:v>
      </x:c>
      <x:c r="B12" s="122" t="str">
        <x:v>Production Azure - high</x:v>
      </x:c>
      <x:c r="C12" s="134" t="n">
        <x:v>900000</x:v>
      </x:c>
      <x:c r="D12" s="135" t="str">
        <x:v>per month</x:v>
      </x:c>
      <x:c r="E12" s="135" t="n">
        <x:v>0</x:v>
      </x:c>
      <x:c r="F12" s="122" t="str">
        <x:v>High-end planning range</x:v>
      </x:c>
    </x:row>
    <x:row r="13">
      <x:c r="A13" s="136" t="str">
        <x:v>Launch</x:v>
      </x:c>
      <x:c r="B13" s="136" t="str">
        <x:v>Launch and brand package - minimum</x:v>
      </x:c>
      <x:c r="C13" s="134" t="n">
        <x:v>2500000</x:v>
      </x:c>
      <x:c r="D13" s="135" t="str">
        <x:v>one-off</x:v>
      </x:c>
      <x:c r="E13" s="135" t="n">
        <x:v>0</x:v>
      </x:c>
      <x:c r="F13" s="136" t="str">
        <x:v>Brand, site, demo video, press and campaign</x:v>
      </x:c>
    </x:row>
    <x:row r="14">
      <x:c r="A14" s="122" t="str">
        <x:v>Launch</x:v>
      </x:c>
      <x:c r="B14" s="122" t="str">
        <x:v>Launch and brand package - maximum</x:v>
      </x:c>
      <x:c r="C14" s="134" t="n">
        <x:v>6000000</x:v>
      </x:c>
      <x:c r="D14" s="135" t="str">
        <x:v>one-off</x:v>
      </x:c>
      <x:c r="E14" s="135" t="n">
        <x:v>0</x:v>
      </x:c>
      <x:c r="F14" s="122" t="str">
        <x:v>Upper planning range</x:v>
      </x:c>
    </x:row>
    <x:row r="15">
      <x:c r="A15" s="136" t="str">
        <x:v>Planning</x:v>
      </x:c>
      <x:c r="B15" s="136" t="str">
        <x:v>First-year planning horizon</x:v>
      </x:c>
      <x:c r="C15" s="137" t="n">
        <x:v>12</x:v>
      </x:c>
      <x:c r="D15" s="135" t="str">
        <x:v>months</x:v>
      </x:c>
      <x:c r="E15" s="135" t="n">
        <x:v>1</x:v>
      </x:c>
      <x:c r="F15" s="136" t="str">
        <x:v>Total months measured from kickoff</x:v>
      </x:c>
    </x:row>
    <x:row r="16">
      <x:c r="A16" s="122" t="str">
        <x:v>Planning</x:v>
      </x:c>
      <x:c r="B16" s="122" t="str">
        <x:v>Initial programme period</x:v>
      </x:c>
      <x:c r="C16" s="137" t="n">
        <x:v>2</x:v>
      </x:c>
      <x:c r="D16" s="135" t="str">
        <x:v>months</x:v>
      </x:c>
      <x:c r="E16" s="135" t="n">
        <x:v>1</x:v>
      </x:c>
      <x:c r="F16" s="122" t="str">
        <x:v>Recurring delivery team begins after this period</x:v>
      </x:c>
    </x:row>
    <x:row r="17">
      <x:c r="A17" s="136" t="str">
        <x:v>Planning</x:v>
      </x:c>
      <x:c r="B17" s="136" t="str">
        <x:v>Recurring team months in horizon</x:v>
      </x:c>
      <x:c r="C17" s="137" t="n">
        <x:f>MAX(C15-C16,0)</x:f>
        <x:v>10</x:v>
      </x:c>
      <x:c r="D17" s="135" t="str">
        <x:v>months</x:v>
      </x:c>
      <x:c r="E17" s="135" t="n">
        <x:v>1</x:v>
      </x:c>
      <x:c r="F17" s="136" t="str">
        <x:v>Calculated as planning horizon less initial programme period</x:v>
      </x:c>
    </x:row>
    <x:row r="18">
      <x:c r="A18" s="122" t="str">
        <x:v>Planning</x:v>
      </x:c>
      <x:c r="B18" s="122" t="str">
        <x:v>USD/NGN planning rate</x:v>
      </x:c>
      <x:c r="C18" s="137" t="n">
        <x:v>1650</x:v>
      </x:c>
      <x:c r="D18" s="135" t="str">
        <x:v>NGN per USD</x:v>
      </x:c>
      <x:c r="E18" s="135" t="n">
        <x:v>1</x:v>
      </x:c>
      <x:c r="F18" s="122" t="str">
        <x:v>Planning assumption; confirm at procurement</x:v>
      </x:c>
    </x:row>
    <x:row r="19">
      <x:c r="A19" s="136" t="str">
        <x:v>Planning</x:v>
      </x:c>
      <x:c r="B19" s="136" t="str">
        <x:v>FX/usage contingency</x:v>
      </x:c>
      <x:c r="C19" s="138" t="n">
        <x:v>0.15</x:v>
      </x:c>
      <x:c r="D19" s="135" t="str">
        <x:v>percentage</x:v>
      </x:c>
      <x:c r="E19" s="135" t="n">
        <x:v>1</x:v>
      </x:c>
      <x:c r="F19" s="136" t="str">
        <x:v>Apply manually where appropriate</x:v>
      </x:c>
    </x:row>
  </x:sheetData>
  <x:mergeCells>
    <x:mergeCell ref="A1:F1"/>
    <x:mergeCell ref="A2:F2"/>
  </x:mergeCells>
  <x:dataValidations count="1">
    <x:dataValidation type="whole" operator="between" sqref="E5:E19">
      <x:formula1>0</x:formula1>
      <x:formula2>1</x:formula2>
    </x:dataValidation>
  </x:dataValidations>
  <x:pageMargins left="0.7" right="0.7" top="0.75" bottom="0.75" header="0.3" footer="0.3"/>
  <x:legacyDrawing xmlns:r="http://schemas.openxmlformats.org/officeDocument/2006/relationships" r:id="R9b961ce687c54f19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5" hidden="0" customWidth="1"/>
    <x:col min="3" max="3" width="17" hidden="0" customWidth="1"/>
    <x:col min="4" max="4" width="11" hidden="0" customWidth="1"/>
    <x:col min="5" max="5" width="11" hidden="0" customWidth="1"/>
    <x:col min="6" max="6" width="19" hidden="0" customWidth="1"/>
  </x:cols>
  <x:sheetData>
    <x:row r="1" ht="34" customHeight="1">
      <x:c r="A1" s="98" t="str">
        <x:v>Initial Programme Costs</x:v>
      </x:c>
      <x:c r="B1" s="99"/>
      <x:c r="C1" s="99"/>
      <x:c r="D1" s="99"/>
      <x:c r="E1" s="99"/>
      <x:c r="F1" s="99"/>
    </x:row>
    <x:row r="2" ht="30" customHeight="1">
      <x:c r="A2" s="100" t="str">
        <x:v>Two-month professional services plus approved one-off launch and security costs.</x:v>
      </x:c>
      <x:c r="B2" s="99"/>
      <x:c r="C2" s="99"/>
      <x:c r="D2" s="99"/>
      <x:c r="E2" s="99"/>
      <x:c r="F2" s="99"/>
    </x:row>
    <x:row r="3">
      <x:c r="A3" s="99"/>
      <x:c r="B3" s="99"/>
      <x:c r="C3" s="99"/>
      <x:c r="D3" s="99"/>
      <x:c r="E3" s="99"/>
      <x:c r="F3" s="99"/>
    </x:row>
    <x:row r="4" ht="28" customHeight="1">
      <x:c r="A4" s="113" t="str">
        <x:v>Item</x:v>
      </x:c>
      <x:c r="B4" s="114" t="str">
        <x:v>Source</x:v>
      </x:c>
      <x:c r="C4" s="114" t="str">
        <x:v>Unit cost</x:v>
      </x:c>
      <x:c r="D4" s="114" t="str">
        <x:v>Quantity</x:v>
      </x:c>
      <x:c r="E4" s="114" t="str">
        <x:v>Include</x:v>
      </x:c>
      <x:c r="F4" s="115" t="str">
        <x:v>Total</x:v>
      </x:c>
    </x:row>
    <x:row r="5">
      <x:c r="A5" s="116" t="str">
        <x:v>Month 1 professional services</x:v>
      </x:c>
      <x:c r="B5" s="116" t="str">
        <x:v>Assumptions</x:v>
      </x:c>
      <x:c r="C5" s="117" t="n">
        <x:f>'Assumptions'!C5</x:f>
        <x:v>7000000</x:v>
      </x:c>
      <x:c r="D5" s="116" t="n">
        <x:v>1</x:v>
      </x:c>
      <x:c r="E5" s="116" t="n">
        <x:f>'Assumptions'!E5</x:f>
        <x:v>1</x:v>
      </x:c>
      <x:c r="F5" s="117" t="n">
        <x:f>C5*D5*E5</x:f>
        <x:v>7000000</x:v>
      </x:c>
    </x:row>
    <x:row r="6">
      <x:c r="A6" s="122" t="str">
        <x:v>Month 2 professional services</x:v>
      </x:c>
      <x:c r="B6" s="122" t="str">
        <x:v>Assumptions</x:v>
      </x:c>
      <x:c r="C6" s="123" t="n">
        <x:f>'Assumptions'!C6</x:f>
        <x:v>5000000</x:v>
      </x:c>
      <x:c r="D6" s="122" t="n">
        <x:v>1</x:v>
      </x:c>
      <x:c r="E6" s="122" t="n">
        <x:f>'Assumptions'!E6</x:f>
        <x:v>1</x:v>
      </x:c>
      <x:c r="F6" s="123" t="n">
        <x:f>C6*D6*E6</x:f>
        <x:v>5000000</x:v>
      </x:c>
    </x:row>
    <x:row r="7">
      <x:c r="A7" s="122" t="str">
        <x:v>Aikido Basic - Month 2</x:v>
      </x:c>
      <x:c r="B7" s="122" t="str">
        <x:v>Assumptions</x:v>
      </x:c>
      <x:c r="C7" s="123" t="n">
        <x:f>'Assumptions'!C7</x:f>
        <x:v>495000</x:v>
      </x:c>
      <x:c r="D7" s="122" t="n">
        <x:v>1</x:v>
      </x:c>
      <x:c r="E7" s="122" t="n">
        <x:f>'Assumptions'!E7</x:f>
        <x:v>1</x:v>
      </x:c>
      <x:c r="F7" s="123" t="n">
        <x:f>C7*D7*E7</x:f>
        <x:v>495000</x:v>
      </x:c>
    </x:row>
    <x:row r="8">
      <x:c r="A8" s="122" t="str">
        <x:v>Launch package - minimum</x:v>
      </x:c>
      <x:c r="B8" s="122" t="str">
        <x:v>Assumptions</x:v>
      </x:c>
      <x:c r="C8" s="123" t="n">
        <x:f>'Assumptions'!C13</x:f>
        <x:v>2500000</x:v>
      </x:c>
      <x:c r="D8" s="122" t="n">
        <x:v>1</x:v>
      </x:c>
      <x:c r="E8" s="122" t="n">
        <x:f>'Assumptions'!E13</x:f>
        <x:v>0</x:v>
      </x:c>
      <x:c r="F8" s="123" t="n">
        <x:f>C8*D8*E8</x:f>
        <x:v>0</x:v>
      </x:c>
    </x:row>
    <x:row r="9">
      <x:c r="A9" s="122" t="str">
        <x:v>Launch package - maximum</x:v>
      </x:c>
      <x:c r="B9" s="122" t="str">
        <x:v>Assumptions</x:v>
      </x:c>
      <x:c r="C9" s="123" t="n">
        <x:f>'Assumptions'!C14</x:f>
        <x:v>6000000</x:v>
      </x:c>
      <x:c r="D9" s="122" t="n">
        <x:v>1</x:v>
      </x:c>
      <x:c r="E9" s="122" t="n">
        <x:f>'Assumptions'!E14</x:f>
        <x:v>0</x:v>
      </x:c>
      <x:c r="F9" s="123" t="n">
        <x:f>C9*D9*E9</x:f>
        <x:v>0</x:v>
      </x:c>
    </x:row>
    <x:row r="10">
      <x:c r="A10" s="99"/>
      <x:c r="B10" s="99"/>
      <x:c r="C10" s="99"/>
      <x:c r="D10" s="99"/>
      <x:c r="E10" s="99"/>
      <x:c r="F10" s="139"/>
    </x:row>
    <x:row r="11">
      <x:c r="A11" s="140" t="str">
        <x:v>INITIAL PROGRAMME TOTAL</x:v>
      </x:c>
      <x:c r="B11" s="141"/>
      <x:c r="C11" s="141"/>
      <x:c r="D11" s="141"/>
      <x:c r="E11" s="141"/>
      <x:c r="F11" s="142" t="n">
        <x:f>SUM(F5:F9)</x:f>
        <x:v>12495000</x:v>
      </x:c>
    </x:row>
  </x:sheetData>
  <x:mergeCells>
    <x:mergeCell ref="A1:F1"/>
    <x:mergeCell ref="A2:F2"/>
    <x:mergeCell ref="A11:E1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7" hidden="0" customWidth="1"/>
    <x:col min="3" max="3" width="18" hidden="0" customWidth="1"/>
    <x:col min="4" max="4" width="11" hidden="0" customWidth="1"/>
    <x:col min="5" max="5" width="20" hidden="0" customWidth="1"/>
    <x:col min="6" max="6" width="20" hidden="0" customWidth="1"/>
  </x:cols>
  <x:sheetData>
    <x:row r="1" ht="34" customHeight="1">
      <x:c r="A1" s="98" t="str">
        <x:v>Monthly Recurring Costs</x:v>
      </x:c>
      <x:c r="B1" s="99"/>
      <x:c r="C1" s="99"/>
      <x:c r="D1" s="99"/>
      <x:c r="E1" s="99"/>
      <x:c r="F1" s="99"/>
    </x:row>
    <x:row r="2" ht="30" customHeight="1">
      <x:c r="A2" s="100" t="str">
        <x:v>Separates service leadership from Developer/UI/UX capacity and third-party operating costs.</x:v>
      </x:c>
      <x:c r="B2" s="99"/>
      <x:c r="C2" s="99"/>
      <x:c r="D2" s="99"/>
      <x:c r="E2" s="99"/>
      <x:c r="F2" s="99"/>
    </x:row>
    <x:row r="3">
      <x:c r="A3" s="99"/>
      <x:c r="B3" s="99"/>
      <x:c r="C3" s="99"/>
      <x:c r="D3" s="99"/>
      <x:c r="E3" s="99"/>
      <x:c r="F3" s="99"/>
    </x:row>
    <x:row r="4" ht="28" customHeight="1">
      <x:c r="A4" s="113" t="str">
        <x:v>Cost item</x:v>
      </x:c>
      <x:c r="B4" s="114" t="str">
        <x:v>Category</x:v>
      </x:c>
      <x:c r="C4" s="114" t="str">
        <x:v>Monthly cost</x:v>
      </x:c>
      <x:c r="D4" s="114" t="str">
        <x:v>Include</x:v>
      </x:c>
      <x:c r="E4" s="114" t="str">
        <x:v>Included monthly</x:v>
      </x:c>
      <x:c r="F4" s="115" t="str">
        <x:v>First 12 months</x:v>
      </x:c>
    </x:row>
    <x:row r="5">
      <x:c r="A5" s="116" t="str">
        <x:v>Service lead and managed support</x:v>
      </x:c>
      <x:c r="B5" s="116" t="str">
        <x:v>People</x:v>
      </x:c>
      <x:c r="C5" s="117" t="n">
        <x:f>'Assumptions'!C8</x:f>
        <x:v>3000000</x:v>
      </x:c>
      <x:c r="D5" s="116" t="n">
        <x:f>'Assumptions'!E8</x:f>
        <x:v>1</x:v>
      </x:c>
      <x:c r="E5" s="117" t="n">
        <x:f>C5*D5</x:f>
        <x:v>3000000</x:v>
      </x:c>
      <x:c r="F5" s="117" t="n">
        <x:f>E5*'Assumptions'!C17</x:f>
        <x:v>30000000</x:v>
      </x:c>
    </x:row>
    <x:row r="6">
      <x:c r="A6" s="122" t="str">
        <x:v>Developer/UI/UX service (Developers)</x:v>
      </x:c>
      <x:c r="B6" s="122" t="str">
        <x:v>People</x:v>
      </x:c>
      <x:c r="C6" s="123" t="n">
        <x:f>'Assumptions'!C9</x:f>
        <x:v>1000000</x:v>
      </x:c>
      <x:c r="D6" s="122" t="n">
        <x:f>'Assumptions'!E9</x:f>
        <x:v>1</x:v>
      </x:c>
      <x:c r="E6" s="123" t="n">
        <x:f>C6*D6</x:f>
        <x:v>1000000</x:v>
      </x:c>
      <x:c r="F6" s="123" t="n">
        <x:f>E6*'Assumptions'!C17</x:f>
        <x:v>10000000</x:v>
      </x:c>
    </x:row>
    <x:row r="7">
      <x:c r="A7" s="122" t="str">
        <x:v>Starter Azure platform</x:v>
      </x:c>
      <x:c r="B7" s="122" t="str">
        <x:v>Infrastructure</x:v>
      </x:c>
      <x:c r="C7" s="123" t="n">
        <x:f>'Assumptions'!C10</x:f>
        <x:v>330000</x:v>
      </x:c>
      <x:c r="D7" s="122" t="n">
        <x:f>'Assumptions'!E10</x:f>
        <x:v>1</x:v>
      </x:c>
      <x:c r="E7" s="123" t="n">
        <x:f>C7*D7</x:f>
        <x:v>330000</x:v>
      </x:c>
      <x:c r="F7" s="123" t="n">
        <x:f>E7*'Assumptions'!C15</x:f>
        <x:v>3960000</x:v>
      </x:c>
    </x:row>
    <x:row r="8">
      <x:c r="A8" s="122" t="str">
        <x:v>Production Azure - low</x:v>
      </x:c>
      <x:c r="B8" s="122" t="str">
        <x:v>Infrastructure</x:v>
      </x:c>
      <x:c r="C8" s="123" t="n">
        <x:f>'Assumptions'!C11</x:f>
        <x:v>500000</x:v>
      </x:c>
      <x:c r="D8" s="122" t="n">
        <x:f>'Assumptions'!E11</x:f>
        <x:v>0</x:v>
      </x:c>
      <x:c r="E8" s="123" t="n">
        <x:f>C8*D8</x:f>
        <x:v>0</x:v>
      </x:c>
      <x:c r="F8" s="123" t="n">
        <x:f>E8*'Assumptions'!C15</x:f>
        <x:v>0</x:v>
      </x:c>
    </x:row>
    <x:row r="9">
      <x:c r="A9" s="122" t="str">
        <x:v>Production Azure - high</x:v>
      </x:c>
      <x:c r="B9" s="122" t="str">
        <x:v>Infrastructure</x:v>
      </x:c>
      <x:c r="C9" s="123" t="n">
        <x:f>'Assumptions'!C12</x:f>
        <x:v>900000</x:v>
      </x:c>
      <x:c r="D9" s="122" t="n">
        <x:f>'Assumptions'!E12</x:f>
        <x:v>0</x:v>
      </x:c>
      <x:c r="E9" s="123" t="n">
        <x:f>C9*D9</x:f>
        <x:v>0</x:v>
      </x:c>
      <x:c r="F9" s="123" t="n">
        <x:f>E9*'Assumptions'!C15</x:f>
        <x:v>0</x:v>
      </x:c>
    </x:row>
    <x:row r="10">
      <x:c r="A10" s="122" t="str">
        <x:v>Additional monthly cost 1</x:v>
      </x:c>
      <x:c r="B10" s="122" t="str">
        <x:v>Other</x:v>
      </x:c>
      <x:c r="C10" s="134" t="n">
        <x:v>0</x:v>
      </x:c>
      <x:c r="D10" s="135" t="n">
        <x:v>0</x:v>
      </x:c>
      <x:c r="E10" s="123" t="n">
        <x:f>C10*D10</x:f>
        <x:v>0</x:v>
      </x:c>
      <x:c r="F10" s="123" t="n">
        <x:f>E10*'Assumptions'!C15</x:f>
        <x:v>0</x:v>
      </x:c>
    </x:row>
    <x:row r="11">
      <x:c r="A11" s="122" t="str">
        <x:v>Additional monthly cost 2</x:v>
      </x:c>
      <x:c r="B11" s="122" t="str">
        <x:v>Other</x:v>
      </x:c>
      <x:c r="C11" s="134" t="n">
        <x:v>0</x:v>
      </x:c>
      <x:c r="D11" s="135" t="n">
        <x:v>0</x:v>
      </x:c>
      <x:c r="E11" s="123" t="n">
        <x:f>C11*D11</x:f>
        <x:v>0</x:v>
      </x:c>
      <x:c r="F11" s="123" t="n">
        <x:f>E11*'Assumptions'!C15</x:f>
        <x:v>0</x:v>
      </x:c>
    </x:row>
    <x:row r="12">
      <x:c r="A12" s="99"/>
      <x:c r="B12" s="99"/>
      <x:c r="C12" s="99"/>
      <x:c r="D12" s="99"/>
      <x:c r="E12" s="139"/>
      <x:c r="F12" s="139"/>
    </x:row>
    <x:row r="13">
      <x:c r="A13" s="140" t="str">
        <x:v>RECURRING TOTAL</x:v>
      </x:c>
      <x:c r="B13" s="141"/>
      <x:c r="C13" s="141"/>
      <x:c r="D13" s="141"/>
      <x:c r="E13" s="143" t="n">
        <x:f>SUM(E5:E11)</x:f>
        <x:v>4330000</x:v>
      </x:c>
      <x:c r="F13" s="142" t="n">
        <x:f>SUM(F5:F11)</x:f>
        <x:v>43960000</x:v>
      </x:c>
    </x:row>
  </x:sheetData>
  <x:mergeCells>
    <x:mergeCell ref="A1:F1"/>
    <x:mergeCell ref="A2:F2"/>
    <x:mergeCell ref="A13:D13"/>
  </x:mergeCells>
  <x:dataValidations count="1">
    <x:dataValidation type="whole" operator="between" sqref="D10:D11">
      <x:formula1>0</x:formula1>
      <x:formula2>1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7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0" hidden="0" customWidth="1"/>
  </x:cols>
  <x:sheetData>
    <x:row r="1" ht="34" customHeight="1">
      <x:c r="A1" s="98" t="str">
        <x:v>Experience Manager - 12-Month Cash View</x:v>
      </x:c>
      <x:c r="B1" s="99"/>
      <x:c r="C1" s="99"/>
      <x:c r="D1" s="99"/>
      <x:c r="E1" s="99"/>
      <x:c r="F1" s="99"/>
      <x:c r="G1" s="99"/>
    </x:row>
    <x:row r="2" ht="30" customHeight="1">
      <x:c r="A2" s="100" t="str">
        <x:v>Baseline from kickoff | Delivery team starts in Month 3 | Starter Azure runs from Month 1</x:v>
      </x:c>
      <x:c r="B2" s="99"/>
      <x:c r="C2" s="99"/>
      <x:c r="D2" s="99"/>
      <x:c r="E2" s="99"/>
      <x:c r="F2" s="99"/>
      <x:c r="G2" s="99"/>
    </x:row>
    <x:row r="3">
      <x:c r="A3" s="99"/>
      <x:c r="B3" s="99"/>
      <x:c r="C3" s="99"/>
      <x:c r="D3" s="99"/>
      <x:c r="E3" s="99"/>
      <x:c r="F3" s="99"/>
      <x:c r="G3" s="99"/>
    </x:row>
    <x:row r="4" ht="28" customHeight="1">
      <x:c r="A4" s="113" t="str">
        <x:v>Period</x:v>
      </x:c>
      <x:c r="B4" s="114" t="str">
        <x:v>Professional services / launch</x:v>
      </x:c>
      <x:c r="C4" s="114" t="str">
        <x:v>Security scan</x:v>
      </x:c>
      <x:c r="D4" s="114" t="str">
        <x:v>Delivery team</x:v>
      </x:c>
      <x:c r="E4" s="114" t="str">
        <x:v>Infrastructure</x:v>
      </x:c>
      <x:c r="F4" s="114" t="str">
        <x:v>Other approved costs</x:v>
      </x:c>
      <x:c r="G4" s="115" t="str">
        <x:v>Total expense</x:v>
      </x:c>
    </x:row>
    <x:row r="5">
      <x:c r="A5" s="116" t="str">
        <x:v>Month 1</x:v>
      </x:c>
      <x:c r="B5" s="117" t="n">
        <x:f>'Initial Costs'!F5+'Initial Costs'!F8+'Initial Costs'!F9</x:f>
        <x:v>7000000</x:v>
      </x:c>
      <x:c r="C5" s="117" t="n">
        <x:f>0</x:f>
        <x:v>0</x:v>
      </x:c>
      <x:c r="D5" s="117" t="n">
        <x:f>0</x:f>
        <x:v>0</x:v>
      </x:c>
      <x:c r="E5" s="117" t="n">
        <x:f>SUM('Monthly Costs'!E7:E11)</x:f>
        <x:v>330000</x:v>
      </x:c>
      <x:c r="F5" s="117" t="n">
        <x:f>'Cost Register'!H26</x:f>
        <x:v>0</x:v>
      </x:c>
      <x:c r="G5" s="117" t="n">
        <x:f>SUM(B5:F5)</x:f>
        <x:v>7330000</x:v>
      </x:c>
    </x:row>
    <x:row r="6">
      <x:c r="A6" s="122" t="str">
        <x:v>Month 2</x:v>
      </x:c>
      <x:c r="B6" s="123" t="n">
        <x:f>'Initial Costs'!F6</x:f>
        <x:v>5000000</x:v>
      </x:c>
      <x:c r="C6" s="123" t="n">
        <x:f>'Initial Costs'!F7</x:f>
        <x:v>495000</x:v>
      </x:c>
      <x:c r="D6" s="123" t="n">
        <x:f>0</x:f>
        <x:v>0</x:v>
      </x:c>
      <x:c r="E6" s="123" t="n">
        <x:f>SUM('Monthly Costs'!E7:E11)</x:f>
        <x:v>330000</x:v>
      </x:c>
      <x:c r="F6" s="123" t="n">
        <x:f>0</x:f>
        <x:v>0</x:v>
      </x:c>
      <x:c r="G6" s="123" t="n">
        <x:f>SUM(B6:F6)</x:f>
        <x:v>5825000</x:v>
      </x:c>
    </x:row>
    <x:row r="7">
      <x:c r="A7" s="122" t="str">
        <x:v>Month 3</x:v>
      </x:c>
      <x:c r="B7" s="123" t="n">
        <x:f>0</x:f>
        <x:v>0</x:v>
      </x:c>
      <x:c r="C7" s="123" t="n">
        <x:f>0</x:f>
        <x:v>0</x:v>
      </x:c>
      <x:c r="D7" s="123" t="n">
        <x:f>'Monthly Costs'!E5+'Monthly Costs'!E6</x:f>
        <x:v>4000000</x:v>
      </x:c>
      <x:c r="E7" s="123" t="n">
        <x:f>SUM('Monthly Costs'!E7:E11)</x:f>
        <x:v>330000</x:v>
      </x:c>
      <x:c r="F7" s="123" t="n">
        <x:f>0</x:f>
        <x:v>0</x:v>
      </x:c>
      <x:c r="G7" s="123" t="n">
        <x:f>SUM(B7:F7)</x:f>
        <x:v>4330000</x:v>
      </x:c>
    </x:row>
    <x:row r="8">
      <x:c r="A8" s="122" t="str">
        <x:v>Month 4</x:v>
      </x:c>
      <x:c r="B8" s="123" t="n">
        <x:f>0</x:f>
        <x:v>0</x:v>
      </x:c>
      <x:c r="C8" s="123" t="n">
        <x:f>0</x:f>
        <x:v>0</x:v>
      </x:c>
      <x:c r="D8" s="123" t="n">
        <x:f>'Monthly Costs'!E5+'Monthly Costs'!E6</x:f>
        <x:v>4000000</x:v>
      </x:c>
      <x:c r="E8" s="123" t="n">
        <x:f>SUM('Monthly Costs'!E7:E11)</x:f>
        <x:v>330000</x:v>
      </x:c>
      <x:c r="F8" s="123" t="n">
        <x:f>0</x:f>
        <x:v>0</x:v>
      </x:c>
      <x:c r="G8" s="123" t="n">
        <x:f>SUM(B8:F8)</x:f>
        <x:v>4330000</x:v>
      </x:c>
    </x:row>
    <x:row r="9">
      <x:c r="A9" s="122" t="str">
        <x:v>Month 5</x:v>
      </x:c>
      <x:c r="B9" s="123" t="n">
        <x:f>0</x:f>
        <x:v>0</x:v>
      </x:c>
      <x:c r="C9" s="123" t="n">
        <x:f>0</x:f>
        <x:v>0</x:v>
      </x:c>
      <x:c r="D9" s="123" t="n">
        <x:f>'Monthly Costs'!E5+'Monthly Costs'!E6</x:f>
        <x:v>4000000</x:v>
      </x:c>
      <x:c r="E9" s="123" t="n">
        <x:f>SUM('Monthly Costs'!E7:E11)</x:f>
        <x:v>330000</x:v>
      </x:c>
      <x:c r="F9" s="123" t="n">
        <x:f>0</x:f>
        <x:v>0</x:v>
      </x:c>
      <x:c r="G9" s="123" t="n">
        <x:f>SUM(B9:F9)</x:f>
        <x:v>4330000</x:v>
      </x:c>
    </x:row>
    <x:row r="10">
      <x:c r="A10" s="122" t="str">
        <x:v>Month 6</x:v>
      </x:c>
      <x:c r="B10" s="123" t="n">
        <x:f>0</x:f>
        <x:v>0</x:v>
      </x:c>
      <x:c r="C10" s="123" t="n">
        <x:f>0</x:f>
        <x:v>0</x:v>
      </x:c>
      <x:c r="D10" s="123" t="n">
        <x:f>'Monthly Costs'!E5+'Monthly Costs'!E6</x:f>
        <x:v>4000000</x:v>
      </x:c>
      <x:c r="E10" s="123" t="n">
        <x:f>SUM('Monthly Costs'!E7:E11)</x:f>
        <x:v>330000</x:v>
      </x:c>
      <x:c r="F10" s="123" t="n">
        <x:f>0</x:f>
        <x:v>0</x:v>
      </x:c>
      <x:c r="G10" s="123" t="n">
        <x:f>SUM(B10:F10)</x:f>
        <x:v>4330000</x:v>
      </x:c>
    </x:row>
    <x:row r="11">
      <x:c r="A11" s="122" t="str">
        <x:v>Month 7</x:v>
      </x:c>
      <x:c r="B11" s="123" t="n">
        <x:f>0</x:f>
        <x:v>0</x:v>
      </x:c>
      <x:c r="C11" s="123" t="n">
        <x:f>0</x:f>
        <x:v>0</x:v>
      </x:c>
      <x:c r="D11" s="123" t="n">
        <x:f>'Monthly Costs'!E5+'Monthly Costs'!E6</x:f>
        <x:v>4000000</x:v>
      </x:c>
      <x:c r="E11" s="123" t="n">
        <x:f>SUM('Monthly Costs'!E7:E11)</x:f>
        <x:v>330000</x:v>
      </x:c>
      <x:c r="F11" s="123" t="n">
        <x:f>0</x:f>
        <x:v>0</x:v>
      </x:c>
      <x:c r="G11" s="123" t="n">
        <x:f>SUM(B11:F11)</x:f>
        <x:v>4330000</x:v>
      </x:c>
    </x:row>
    <x:row r="12">
      <x:c r="A12" s="122" t="str">
        <x:v>Month 8</x:v>
      </x:c>
      <x:c r="B12" s="123" t="n">
        <x:f>0</x:f>
        <x:v>0</x:v>
      </x:c>
      <x:c r="C12" s="123" t="n">
        <x:f>0</x:f>
        <x:v>0</x:v>
      </x:c>
      <x:c r="D12" s="123" t="n">
        <x:f>'Monthly Costs'!E5+'Monthly Costs'!E6</x:f>
        <x:v>4000000</x:v>
      </x:c>
      <x:c r="E12" s="123" t="n">
        <x:f>SUM('Monthly Costs'!E7:E11)</x:f>
        <x:v>330000</x:v>
      </x:c>
      <x:c r="F12" s="123" t="n">
        <x:f>0</x:f>
        <x:v>0</x:v>
      </x:c>
      <x:c r="G12" s="123" t="n">
        <x:f>SUM(B12:F12)</x:f>
        <x:v>4330000</x:v>
      </x:c>
    </x:row>
    <x:row r="13">
      <x:c r="A13" s="122" t="str">
        <x:v>Month 9</x:v>
      </x:c>
      <x:c r="B13" s="123" t="n">
        <x:f>0</x:f>
        <x:v>0</x:v>
      </x:c>
      <x:c r="C13" s="123" t="n">
        <x:f>0</x:f>
        <x:v>0</x:v>
      </x:c>
      <x:c r="D13" s="123" t="n">
        <x:f>'Monthly Costs'!E5+'Monthly Costs'!E6</x:f>
        <x:v>4000000</x:v>
      </x:c>
      <x:c r="E13" s="123" t="n">
        <x:f>SUM('Monthly Costs'!E7:E11)</x:f>
        <x:v>330000</x:v>
      </x:c>
      <x:c r="F13" s="123" t="n">
        <x:f>0</x:f>
        <x:v>0</x:v>
      </x:c>
      <x:c r="G13" s="123" t="n">
        <x:f>SUM(B13:F13)</x:f>
        <x:v>4330000</x:v>
      </x:c>
    </x:row>
    <x:row r="14">
      <x:c r="A14" s="122" t="str">
        <x:v>Month 10</x:v>
      </x:c>
      <x:c r="B14" s="123" t="n">
        <x:f>0</x:f>
        <x:v>0</x:v>
      </x:c>
      <x:c r="C14" s="123" t="n">
        <x:f>0</x:f>
        <x:v>0</x:v>
      </x:c>
      <x:c r="D14" s="123" t="n">
        <x:f>'Monthly Costs'!E5+'Monthly Costs'!E6</x:f>
        <x:v>4000000</x:v>
      </x:c>
      <x:c r="E14" s="123" t="n">
        <x:f>SUM('Monthly Costs'!E7:E11)</x:f>
        <x:v>330000</x:v>
      </x:c>
      <x:c r="F14" s="123" t="n">
        <x:f>0</x:f>
        <x:v>0</x:v>
      </x:c>
      <x:c r="G14" s="123" t="n">
        <x:f>SUM(B14:F14)</x:f>
        <x:v>4330000</x:v>
      </x:c>
    </x:row>
    <x:row r="15">
      <x:c r="A15" s="122" t="str">
        <x:v>Month 11</x:v>
      </x:c>
      <x:c r="B15" s="123" t="n">
        <x:f>0</x:f>
        <x:v>0</x:v>
      </x:c>
      <x:c r="C15" s="123" t="n">
        <x:f>0</x:f>
        <x:v>0</x:v>
      </x:c>
      <x:c r="D15" s="123" t="n">
        <x:f>'Monthly Costs'!E5+'Monthly Costs'!E6</x:f>
        <x:v>4000000</x:v>
      </x:c>
      <x:c r="E15" s="123" t="n">
        <x:f>SUM('Monthly Costs'!E7:E11)</x:f>
        <x:v>330000</x:v>
      </x:c>
      <x:c r="F15" s="123" t="n">
        <x:f>0</x:f>
        <x:v>0</x:v>
      </x:c>
      <x:c r="G15" s="123" t="n">
        <x:f>SUM(B15:F15)</x:f>
        <x:v>4330000</x:v>
      </x:c>
    </x:row>
    <x:row r="16">
      <x:c r="A16" s="122" t="str">
        <x:v>Month 12</x:v>
      </x:c>
      <x:c r="B16" s="123" t="n">
        <x:f>0</x:f>
        <x:v>0</x:v>
      </x:c>
      <x:c r="C16" s="123" t="n">
        <x:f>0</x:f>
        <x:v>0</x:v>
      </x:c>
      <x:c r="D16" s="123" t="n">
        <x:f>'Monthly Costs'!E5+'Monthly Costs'!E6</x:f>
        <x:v>4000000</x:v>
      </x:c>
      <x:c r="E16" s="123" t="n">
        <x:f>SUM('Monthly Costs'!E7:E11)</x:f>
        <x:v>330000</x:v>
      </x:c>
      <x:c r="F16" s="123" t="n">
        <x:f>0</x:f>
        <x:v>0</x:v>
      </x:c>
      <x:c r="G16" s="123" t="n">
        <x:f>SUM(B16:F16)</x:f>
        <x:v>4330000</x:v>
      </x:c>
    </x:row>
    <x:row r="17">
      <x:c r="A17" s="140" t="str">
        <x:v>FIRST 12 MONTHS - TOTAL EXPENSE</x:v>
      </x:c>
      <x:c r="B17" s="143"/>
      <x:c r="C17" s="143"/>
      <x:c r="D17" s="143"/>
      <x:c r="E17" s="143"/>
      <x:c r="F17" s="143"/>
      <x:c r="G17" s="142" t="n">
        <x:f>SUM(G5:G16)</x:f>
        <x:v>56455000</x:v>
      </x:c>
    </x:row>
  </x:sheetData>
  <x:mergeCells>
    <x:mergeCell ref="A1:G1"/>
    <x:mergeCell ref="A2:G2"/>
    <x:mergeCell ref="A17:F1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14" hidden="0" customWidth="1"/>
    <x:col min="4" max="4" width="17" hidden="0" customWidth="1"/>
    <x:col min="5" max="5" width="12" hidden="0" customWidth="1"/>
    <x:col min="6" max="6" width="12" hidden="0" customWidth="1"/>
    <x:col min="7" max="7" width="12" hidden="0" customWidth="1"/>
    <x:col min="8" max="8" width="19" hidden="0" customWidth="1"/>
  </x:cols>
  <x:sheetData>
    <x:row r="1" ht="34" customHeight="1">
      <x:c r="A1" s="98" t="str">
        <x:v>Additional Cost Register</x:v>
      </x:c>
      <x:c r="B1" s="99"/>
      <x:c r="C1" s="99"/>
      <x:c r="D1" s="99"/>
      <x:c r="E1" s="99"/>
      <x:c r="F1" s="99"/>
      <x:c r="G1" s="99"/>
      <x:c r="H1" s="99"/>
    </x:row>
    <x:row r="2" ht="30" customHeight="1">
      <x:c r="A2" s="100" t="str">
        <x:v>Add costs here without changing the core model. Use one row per item and set Include to 1 when approved.</x:v>
      </x:c>
      <x:c r="B2" s="99"/>
      <x:c r="C2" s="99"/>
      <x:c r="D2" s="99"/>
      <x:c r="E2" s="99"/>
      <x:c r="F2" s="99"/>
      <x:c r="G2" s="99"/>
      <x:c r="H2" s="99"/>
    </x:row>
    <x:row r="3">
      <x:c r="A3" s="99"/>
      <x:c r="B3" s="99"/>
      <x:c r="C3" s="99"/>
      <x:c r="D3" s="99"/>
      <x:c r="E3" s="99"/>
      <x:c r="F3" s="99"/>
      <x:c r="G3" s="99"/>
      <x:c r="H3" s="99"/>
    </x:row>
    <x:row r="4" ht="28" customHeight="1">
      <x:c r="A4" s="113" t="str">
        <x:v>Category</x:v>
      </x:c>
      <x:c r="B4" s="114" t="str">
        <x:v>Cost item</x:v>
      </x:c>
      <x:c r="C4" s="114" t="str">
        <x:v>Cost type</x:v>
      </x:c>
      <x:c r="D4" s="114" t="str">
        <x:v>Unit cost</x:v>
      </x:c>
      <x:c r="E4" s="114" t="str">
        <x:v>Quantity</x:v>
      </x:c>
      <x:c r="F4" s="114" t="str">
        <x:v>Months</x:v>
      </x:c>
      <x:c r="G4" s="114" t="str">
        <x:v>Include (1/0)</x:v>
      </x:c>
      <x:c r="H4" s="115" t="str">
        <x:v>Total</x:v>
      </x:c>
    </x:row>
    <x:row r="5">
      <x:c r="A5" s="133" t="str">
        <x:v>Other</x:v>
      </x:c>
      <x:c r="B5" s="133" t="str">
        <x:v>Additional cost 1</x:v>
      </x:c>
      <x:c r="C5" s="133" t="str">
        <x:v>One-off</x:v>
      </x:c>
      <x:c r="D5" s="132" t="n">
        <x:v>0</x:v>
      </x:c>
      <x:c r="E5" s="133" t="n">
        <x:v>1</x:v>
      </x:c>
      <x:c r="F5" s="133" t="n">
        <x:v>1</x:v>
      </x:c>
      <x:c r="G5" s="133" t="n">
        <x:v>0</x:v>
      </x:c>
      <x:c r="H5" s="117" t="n">
        <x:f>D5*E5*F5*G5</x:f>
        <x:v>0</x:v>
      </x:c>
    </x:row>
    <x:row r="6">
      <x:c r="A6" s="135" t="str">
        <x:v>Other</x:v>
      </x:c>
      <x:c r="B6" s="135" t="str">
        <x:v>Additional cost 2</x:v>
      </x:c>
      <x:c r="C6" s="135" t="str">
        <x:v>One-off</x:v>
      </x:c>
      <x:c r="D6" s="134" t="n">
        <x:v>0</x:v>
      </x:c>
      <x:c r="E6" s="135" t="n">
        <x:v>1</x:v>
      </x:c>
      <x:c r="F6" s="135" t="n">
        <x:v>1</x:v>
      </x:c>
      <x:c r="G6" s="135" t="n">
        <x:v>0</x:v>
      </x:c>
      <x:c r="H6" s="123" t="n">
        <x:f>D6*E6*F6*G6</x:f>
        <x:v>0</x:v>
      </x:c>
    </x:row>
    <x:row r="7">
      <x:c r="A7" s="135" t="str">
        <x:v>Other</x:v>
      </x:c>
      <x:c r="B7" s="135" t="str">
        <x:v>Additional cost 3</x:v>
      </x:c>
      <x:c r="C7" s="135" t="str">
        <x:v>One-off</x:v>
      </x:c>
      <x:c r="D7" s="134" t="n">
        <x:v>0</x:v>
      </x:c>
      <x:c r="E7" s="135" t="n">
        <x:v>1</x:v>
      </x:c>
      <x:c r="F7" s="135" t="n">
        <x:v>1</x:v>
      </x:c>
      <x:c r="G7" s="135" t="n">
        <x:v>0</x:v>
      </x:c>
      <x:c r="H7" s="123" t="n">
        <x:f>D7*E7*F7*G7</x:f>
        <x:v>0</x:v>
      </x:c>
    </x:row>
    <x:row r="8">
      <x:c r="A8" s="135" t="str">
        <x:v>Other</x:v>
      </x:c>
      <x:c r="B8" s="135" t="str">
        <x:v>Additional cost 4</x:v>
      </x:c>
      <x:c r="C8" s="135" t="str">
        <x:v>One-off</x:v>
      </x:c>
      <x:c r="D8" s="134" t="n">
        <x:v>0</x:v>
      </x:c>
      <x:c r="E8" s="135" t="n">
        <x:v>1</x:v>
      </x:c>
      <x:c r="F8" s="135" t="n">
        <x:v>1</x:v>
      </x:c>
      <x:c r="G8" s="135" t="n">
        <x:v>0</x:v>
      </x:c>
      <x:c r="H8" s="123" t="n">
        <x:f>D8*E8*F8*G8</x:f>
        <x:v>0</x:v>
      </x:c>
    </x:row>
    <x:row r="9">
      <x:c r="A9" s="135" t="str">
        <x:v>Other</x:v>
      </x:c>
      <x:c r="B9" s="135" t="str">
        <x:v>Additional cost 5</x:v>
      </x:c>
      <x:c r="C9" s="135" t="str">
        <x:v>One-off</x:v>
      </x:c>
      <x:c r="D9" s="134" t="n">
        <x:v>0</x:v>
      </x:c>
      <x:c r="E9" s="135" t="n">
        <x:v>1</x:v>
      </x:c>
      <x:c r="F9" s="135" t="n">
        <x:v>1</x:v>
      </x:c>
      <x:c r="G9" s="135" t="n">
        <x:v>0</x:v>
      </x:c>
      <x:c r="H9" s="123" t="n">
        <x:f>D9*E9*F9*G9</x:f>
        <x:v>0</x:v>
      </x:c>
    </x:row>
    <x:row r="10">
      <x:c r="A10" s="135" t="str">
        <x:v>Other</x:v>
      </x:c>
      <x:c r="B10" s="135" t="str">
        <x:v>Additional cost 6</x:v>
      </x:c>
      <x:c r="C10" s="135" t="str">
        <x:v>One-off</x:v>
      </x:c>
      <x:c r="D10" s="134" t="n">
        <x:v>0</x:v>
      </x:c>
      <x:c r="E10" s="135" t="n">
        <x:v>1</x:v>
      </x:c>
      <x:c r="F10" s="135" t="n">
        <x:v>1</x:v>
      </x:c>
      <x:c r="G10" s="135" t="n">
        <x:v>0</x:v>
      </x:c>
      <x:c r="H10" s="123" t="n">
        <x:f>D10*E10*F10*G10</x:f>
        <x:v>0</x:v>
      </x:c>
    </x:row>
    <x:row r="11">
      <x:c r="A11" s="135" t="str">
        <x:v>Other</x:v>
      </x:c>
      <x:c r="B11" s="135" t="str">
        <x:v>Additional cost 7</x:v>
      </x:c>
      <x:c r="C11" s="135" t="str">
        <x:v>One-off</x:v>
      </x:c>
      <x:c r="D11" s="134" t="n">
        <x:v>0</x:v>
      </x:c>
      <x:c r="E11" s="135" t="n">
        <x:v>1</x:v>
      </x:c>
      <x:c r="F11" s="135" t="n">
        <x:v>1</x:v>
      </x:c>
      <x:c r="G11" s="135" t="n">
        <x:v>0</x:v>
      </x:c>
      <x:c r="H11" s="123" t="n">
        <x:f>D11*E11*F11*G11</x:f>
        <x:v>0</x:v>
      </x:c>
    </x:row>
    <x:row r="12">
      <x:c r="A12" s="135" t="str">
        <x:v>Other</x:v>
      </x:c>
      <x:c r="B12" s="135" t="str">
        <x:v>Additional cost 8</x:v>
      </x:c>
      <x:c r="C12" s="135" t="str">
        <x:v>One-off</x:v>
      </x:c>
      <x:c r="D12" s="134" t="n">
        <x:v>0</x:v>
      </x:c>
      <x:c r="E12" s="135" t="n">
        <x:v>1</x:v>
      </x:c>
      <x:c r="F12" s="135" t="n">
        <x:v>1</x:v>
      </x:c>
      <x:c r="G12" s="135" t="n">
        <x:v>0</x:v>
      </x:c>
      <x:c r="H12" s="123" t="n">
        <x:f>D12*E12*F12*G12</x:f>
        <x:v>0</x:v>
      </x:c>
    </x:row>
    <x:row r="13">
      <x:c r="A13" s="135" t="str">
        <x:v>Other</x:v>
      </x:c>
      <x:c r="B13" s="135" t="str">
        <x:v>Additional cost 9</x:v>
      </x:c>
      <x:c r="C13" s="135" t="str">
        <x:v>One-off</x:v>
      </x:c>
      <x:c r="D13" s="134" t="n">
        <x:v>0</x:v>
      </x:c>
      <x:c r="E13" s="135" t="n">
        <x:v>1</x:v>
      </x:c>
      <x:c r="F13" s="135" t="n">
        <x:v>1</x:v>
      </x:c>
      <x:c r="G13" s="135" t="n">
        <x:v>0</x:v>
      </x:c>
      <x:c r="H13" s="123" t="n">
        <x:f>D13*E13*F13*G13</x:f>
        <x:v>0</x:v>
      </x:c>
    </x:row>
    <x:row r="14">
      <x:c r="A14" s="135" t="str">
        <x:v>Other</x:v>
      </x:c>
      <x:c r="B14" s="135" t="str">
        <x:v>Additional cost 10</x:v>
      </x:c>
      <x:c r="C14" s="135" t="str">
        <x:v>One-off</x:v>
      </x:c>
      <x:c r="D14" s="134" t="n">
        <x:v>0</x:v>
      </x:c>
      <x:c r="E14" s="135" t="n">
        <x:v>1</x:v>
      </x:c>
      <x:c r="F14" s="135" t="n">
        <x:v>1</x:v>
      </x:c>
      <x:c r="G14" s="135" t="n">
        <x:v>0</x:v>
      </x:c>
      <x:c r="H14" s="123" t="n">
        <x:f>D14*E14*F14*G14</x:f>
        <x:v>0</x:v>
      </x:c>
    </x:row>
    <x:row r="15">
      <x:c r="A15" s="135" t="str">
        <x:v>Other</x:v>
      </x:c>
      <x:c r="B15" s="135" t="str">
        <x:v>Additional cost 11</x:v>
      </x:c>
      <x:c r="C15" s="135" t="str">
        <x:v>One-off</x:v>
      </x:c>
      <x:c r="D15" s="134" t="n">
        <x:v>0</x:v>
      </x:c>
      <x:c r="E15" s="135" t="n">
        <x:v>1</x:v>
      </x:c>
      <x:c r="F15" s="135" t="n">
        <x:v>1</x:v>
      </x:c>
      <x:c r="G15" s="135" t="n">
        <x:v>0</x:v>
      </x:c>
      <x:c r="H15" s="123" t="n">
        <x:f>D15*E15*F15*G15</x:f>
        <x:v>0</x:v>
      </x:c>
    </x:row>
    <x:row r="16">
      <x:c r="A16" s="135" t="str">
        <x:v>Other</x:v>
      </x:c>
      <x:c r="B16" s="135" t="str">
        <x:v>Additional cost 12</x:v>
      </x:c>
      <x:c r="C16" s="135" t="str">
        <x:v>One-off</x:v>
      </x:c>
      <x:c r="D16" s="134" t="n">
        <x:v>0</x:v>
      </x:c>
      <x:c r="E16" s="135" t="n">
        <x:v>1</x:v>
      </x:c>
      <x:c r="F16" s="135" t="n">
        <x:v>1</x:v>
      </x:c>
      <x:c r="G16" s="135" t="n">
        <x:v>0</x:v>
      </x:c>
      <x:c r="H16" s="123" t="n">
        <x:f>D16*E16*F16*G16</x:f>
        <x:v>0</x:v>
      </x:c>
    </x:row>
    <x:row r="17">
      <x:c r="A17" s="135" t="str">
        <x:v>Other</x:v>
      </x:c>
      <x:c r="B17" s="135" t="str">
        <x:v>Additional cost 13</x:v>
      </x:c>
      <x:c r="C17" s="135" t="str">
        <x:v>One-off</x:v>
      </x:c>
      <x:c r="D17" s="134" t="n">
        <x:v>0</x:v>
      </x:c>
      <x:c r="E17" s="135" t="n">
        <x:v>1</x:v>
      </x:c>
      <x:c r="F17" s="135" t="n">
        <x:v>1</x:v>
      </x:c>
      <x:c r="G17" s="135" t="n">
        <x:v>0</x:v>
      </x:c>
      <x:c r="H17" s="123" t="n">
        <x:f>D17*E17*F17*G17</x:f>
        <x:v>0</x:v>
      </x:c>
    </x:row>
    <x:row r="18">
      <x:c r="A18" s="135" t="str">
        <x:v>Other</x:v>
      </x:c>
      <x:c r="B18" s="135" t="str">
        <x:v>Additional cost 14</x:v>
      </x:c>
      <x:c r="C18" s="135" t="str">
        <x:v>One-off</x:v>
      </x:c>
      <x:c r="D18" s="134" t="n">
        <x:v>0</x:v>
      </x:c>
      <x:c r="E18" s="135" t="n">
        <x:v>1</x:v>
      </x:c>
      <x:c r="F18" s="135" t="n">
        <x:v>1</x:v>
      </x:c>
      <x:c r="G18" s="135" t="n">
        <x:v>0</x:v>
      </x:c>
      <x:c r="H18" s="123" t="n">
        <x:f>D18*E18*F18*G18</x:f>
        <x:v>0</x:v>
      </x:c>
    </x:row>
    <x:row r="19">
      <x:c r="A19" s="135" t="str">
        <x:v>Other</x:v>
      </x:c>
      <x:c r="B19" s="135" t="str">
        <x:v>Additional cost 15</x:v>
      </x:c>
      <x:c r="C19" s="135" t="str">
        <x:v>One-off</x:v>
      </x:c>
      <x:c r="D19" s="134" t="n">
        <x:v>0</x:v>
      </x:c>
      <x:c r="E19" s="135" t="n">
        <x:v>1</x:v>
      </x:c>
      <x:c r="F19" s="135" t="n">
        <x:v>1</x:v>
      </x:c>
      <x:c r="G19" s="135" t="n">
        <x:v>0</x:v>
      </x:c>
      <x:c r="H19" s="123" t="n">
        <x:f>D19*E19*F19*G19</x:f>
        <x:v>0</x:v>
      </x:c>
    </x:row>
    <x:row r="20">
      <x:c r="A20" s="135" t="str">
        <x:v>Other</x:v>
      </x:c>
      <x:c r="B20" s="135" t="str">
        <x:v>Additional cost 16</x:v>
      </x:c>
      <x:c r="C20" s="135" t="str">
        <x:v>One-off</x:v>
      </x:c>
      <x:c r="D20" s="134" t="n">
        <x:v>0</x:v>
      </x:c>
      <x:c r="E20" s="135" t="n">
        <x:v>1</x:v>
      </x:c>
      <x:c r="F20" s="135" t="n">
        <x:v>1</x:v>
      </x:c>
      <x:c r="G20" s="135" t="n">
        <x:v>0</x:v>
      </x:c>
      <x:c r="H20" s="123" t="n">
        <x:f>D20*E20*F20*G20</x:f>
        <x:v>0</x:v>
      </x:c>
    </x:row>
    <x:row r="21">
      <x:c r="A21" s="135" t="str">
        <x:v>Other</x:v>
      </x:c>
      <x:c r="B21" s="135" t="str">
        <x:v>Additional cost 17</x:v>
      </x:c>
      <x:c r="C21" s="135" t="str">
        <x:v>One-off</x:v>
      </x:c>
      <x:c r="D21" s="134" t="n">
        <x:v>0</x:v>
      </x:c>
      <x:c r="E21" s="135" t="n">
        <x:v>1</x:v>
      </x:c>
      <x:c r="F21" s="135" t="n">
        <x:v>1</x:v>
      </x:c>
      <x:c r="G21" s="135" t="n">
        <x:v>0</x:v>
      </x:c>
      <x:c r="H21" s="123" t="n">
        <x:f>D21*E21*F21*G21</x:f>
        <x:v>0</x:v>
      </x:c>
    </x:row>
    <x:row r="22">
      <x:c r="A22" s="135" t="str">
        <x:v>Other</x:v>
      </x:c>
      <x:c r="B22" s="135" t="str">
        <x:v>Additional cost 18</x:v>
      </x:c>
      <x:c r="C22" s="135" t="str">
        <x:v>One-off</x:v>
      </x:c>
      <x:c r="D22" s="134" t="n">
        <x:v>0</x:v>
      </x:c>
      <x:c r="E22" s="135" t="n">
        <x:v>1</x:v>
      </x:c>
      <x:c r="F22" s="135" t="n">
        <x:v>1</x:v>
      </x:c>
      <x:c r="G22" s="135" t="n">
        <x:v>0</x:v>
      </x:c>
      <x:c r="H22" s="123" t="n">
        <x:f>D22*E22*F22*G22</x:f>
        <x:v>0</x:v>
      </x:c>
    </x:row>
    <x:row r="23">
      <x:c r="A23" s="135" t="str">
        <x:v>Other</x:v>
      </x:c>
      <x:c r="B23" s="135" t="str">
        <x:v>Additional cost 19</x:v>
      </x:c>
      <x:c r="C23" s="135" t="str">
        <x:v>One-off</x:v>
      </x:c>
      <x:c r="D23" s="134" t="n">
        <x:v>0</x:v>
      </x:c>
      <x:c r="E23" s="135" t="n">
        <x:v>1</x:v>
      </x:c>
      <x:c r="F23" s="135" t="n">
        <x:v>1</x:v>
      </x:c>
      <x:c r="G23" s="135" t="n">
        <x:v>0</x:v>
      </x:c>
      <x:c r="H23" s="123" t="n">
        <x:f>D23*E23*F23*G23</x:f>
        <x:v>0</x:v>
      </x:c>
    </x:row>
    <x:row r="24">
      <x:c r="A24" s="135" t="str">
        <x:v>Other</x:v>
      </x:c>
      <x:c r="B24" s="135" t="str">
        <x:v>Additional cost 20</x:v>
      </x:c>
      <x:c r="C24" s="135" t="str">
        <x:v>One-off</x:v>
      </x:c>
      <x:c r="D24" s="134" t="n">
        <x:v>0</x:v>
      </x:c>
      <x:c r="E24" s="135" t="n">
        <x:v>1</x:v>
      </x:c>
      <x:c r="F24" s="135" t="n">
        <x:v>1</x:v>
      </x:c>
      <x:c r="G24" s="135" t="n">
        <x:v>0</x:v>
      </x:c>
      <x:c r="H24" s="123" t="n">
        <x:f>D24*E24*F24*G24</x:f>
        <x:v>0</x:v>
      </x:c>
    </x:row>
    <x:row r="25">
      <x:c r="A25" s="99"/>
      <x:c r="B25" s="99"/>
      <x:c r="C25" s="99"/>
      <x:c r="D25" s="99"/>
      <x:c r="E25" s="99"/>
      <x:c r="F25" s="99"/>
      <x:c r="G25" s="99"/>
      <x:c r="H25" s="99"/>
    </x:row>
    <x:row r="26">
      <x:c r="A26" s="140" t="str">
        <x:v>ADDITIONAL COST TOTAL</x:v>
      </x:c>
      <x:c r="B26" s="141"/>
      <x:c r="C26" s="141"/>
      <x:c r="D26" s="141"/>
      <x:c r="E26" s="141"/>
      <x:c r="F26" s="141"/>
      <x:c r="G26" s="141"/>
      <x:c r="H26" s="144" t="n">
        <x:f>SUM(H5:H24)</x:f>
        <x:v>0</x:v>
      </x:c>
    </x:row>
  </x:sheetData>
  <x:mergeCells>
    <x:mergeCell ref="A1:H1"/>
    <x:mergeCell ref="A2:H2"/>
    <x:mergeCell ref="A26:G26"/>
  </x:mergeCells>
  <x:dataValidations count="2">
    <x:dataValidation type="list" sqref="C5:C24">
      <x:formula1>"One-off,Monthly,Annual"</x:formula1>
    </x:dataValidation>
    <x:dataValidation type="whole" operator="between" sqref="G5:G24">
      <x:formula1>0</x:formula1>
      <x:formula2>1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9" hidden="0" customWidth="1"/>
    <x:col min="3" max="3" width="15" hidden="0" customWidth="1"/>
    <x:col min="4" max="4" width="21" hidden="0" customWidth="1"/>
    <x:col min="5" max="5" width="48" hidden="0" customWidth="1"/>
    <x:col min="6" max="6" width="34" hidden="0" customWidth="1"/>
  </x:cols>
  <x:sheetData>
    <x:row r="1" ht="34" customHeight="1">
      <x:c r="A1" s="98" t="str">
        <x:v>Sources &amp; Model Checks</x:v>
      </x:c>
      <x:c r="B1" s="99"/>
      <x:c r="C1" s="99"/>
      <x:c r="D1" s="99"/>
      <x:c r="E1" s="99"/>
      <x:c r="F1" s="99"/>
    </x:row>
    <x:row r="2" ht="30" customHeight="1">
      <x:c r="A2" s="100" t="str">
        <x:v>Input sources, assumptions and formula-control status.</x:v>
      </x:c>
      <x:c r="B2" s="99"/>
      <x:c r="C2" s="99"/>
      <x:c r="D2" s="99"/>
      <x:c r="E2" s="99"/>
      <x:c r="F2" s="99"/>
    </x:row>
    <x:row r="3">
      <x:c r="A3" s="99"/>
      <x:c r="B3" s="99"/>
      <x:c r="C3" s="99"/>
      <x:c r="D3" s="99"/>
      <x:c r="E3" s="99"/>
      <x:c r="F3" s="99"/>
    </x:row>
    <x:row r="4" ht="28" customHeight="1">
      <x:c r="A4" s="113" t="str">
        <x:v>Item</x:v>
      </x:c>
      <x:c r="B4" s="114" t="str">
        <x:v>Value / check</x:v>
      </x:c>
      <x:c r="C4" s="114" t="str">
        <x:v>Units</x:v>
      </x:c>
      <x:c r="D4" s="114" t="str">
        <x:v>Source</x:v>
      </x:c>
      <x:c r="E4" s="114" t="str">
        <x:v>Reference</x:v>
      </x:c>
      <x:c r="F4" s="115" t="str">
        <x:v>Notes</x:v>
      </x:c>
    </x:row>
    <x:row r="5">
      <x:c r="A5" s="116" t="str">
        <x:v>Aikido Basic</x:v>
      </x:c>
      <x:c r="B5" s="145" t="n">
        <x:v>300</x:v>
      </x:c>
      <x:c r="C5" s="116" t="str">
        <x:v>USD/month</x:v>
      </x:c>
      <x:c r="D5" s="116" t="str">
        <x:v>Aikido Security</x:v>
      </x:c>
      <x:c r="E5" s="116" t="str">
        <x:v>https://www.aikido.dev/pricing</x:v>
      </x:c>
      <x:c r="F5" s="116" t="str">
        <x:v>Published price; converted in assumptions</x:v>
      </x:c>
    </x:row>
    <x:row r="6">
      <x:c r="A6" s="122" t="str">
        <x:v>Azure App Service</x:v>
      </x:c>
      <x:c r="B6" s="122" t="str">
        <x:v>Variable</x:v>
      </x:c>
      <x:c r="C6" s="122" t="str">
        <x:v>USD</x:v>
      </x:c>
      <x:c r="D6" s="122" t="str">
        <x:v>Microsoft Azure</x:v>
      </x:c>
      <x:c r="E6" s="122" t="str">
        <x:v>https://azure.microsoft.com/en-us/pricing/details/app-service/linux/</x:v>
      </x:c>
      <x:c r="F6" s="122" t="str">
        <x:v>Confirm regional quote</x:v>
      </x:c>
    </x:row>
    <x:row r="7">
      <x:c r="A7" s="122" t="str">
        <x:v>Azure PostgreSQL</x:v>
      </x:c>
      <x:c r="B7" s="122" t="str">
        <x:v>Variable</x:v>
      </x:c>
      <x:c r="C7" s="122" t="str">
        <x:v>USD</x:v>
      </x:c>
      <x:c r="D7" s="122" t="str">
        <x:v>Microsoft Azure</x:v>
      </x:c>
      <x:c r="E7" s="122" t="str">
        <x:v>https://azure.microsoft.com/en-us/pricing/details/postgresql/flexible-server/</x:v>
      </x:c>
      <x:c r="F7" s="122" t="str">
        <x:v>Confirm regional quote</x:v>
      </x:c>
    </x:row>
    <x:row r="8">
      <x:c r="A8" s="122" t="str">
        <x:v>Planning FX</x:v>
      </x:c>
      <x:c r="B8" s="146" t="n">
        <x:f>'Assumptions'!C18</x:f>
        <x:v>1650</x:v>
      </x:c>
      <x:c r="C8" s="122" t="str">
        <x:v>NGN/USD</x:v>
      </x:c>
      <x:c r="D8" s="122" t="str">
        <x:v>Assumption</x:v>
      </x:c>
      <x:c r="E8" s="122" t="str">
        <x:v>Assumptions!C18</x:v>
      </x:c>
      <x:c r="F8" s="122" t="str">
        <x:v>Replace at procurement</x:v>
      </x:c>
    </x:row>
    <x:row r="9">
      <x:c r="A9" s="122" t="str">
        <x:v>Model status</x:v>
      </x:c>
      <x:c r="B9" s="122" t="str">
        <x:f>IF(AND('Initial Costs'!F11&gt;=0,'Monthly Costs'!E13&gt;=0,'Monthly Costs'!F13&gt;=0,'Cost Register'!H26&gt;=0,'12-Month View'!G17='Initial Costs'!F11+'Monthly Costs'!F13+'Cost Register'!H26,'Assumptions'!C17=MAX('Assumptions'!C15-'Assumptions'!C16,0)),"PASS","FAIL")</x:f>
        <x:v>PASS</x:v>
      </x:c>
      <x:c r="C9" s="122" t="str">
        <x:v>PASS/FAIL</x:v>
      </x:c>
      <x:c r="D9" s="122" t="str">
        <x:v>Formula control</x:v>
      </x:c>
      <x:c r="E9" s="122" t="str">
        <x:v>This workbook</x:v>
      </x:c>
      <x:c r="F9" s="122" t="str">
        <x:v>PASS only when all core checks are true</x:v>
      </x:c>
    </x:row>
    <x:row r="10">
      <x:c r="A10" s="122" t="str">
        <x:v>Version</x:v>
      </x:c>
      <x:c r="B10" s="122" t="str">
        <x:v>1.5</x:v>
      </x:c>
      <x:c r="C10" s="122" t="str">
        <x:v>-</x:v>
      </x:c>
      <x:c r="D10" s="122" t="str">
        <x:v>Management model</x:v>
      </x:c>
      <x:c r="E10" s="122" t="str">
        <x:v>05 August 2026</x:v>
      </x:c>
      <x:c r="F10" s="122" t="str">
        <x:v>Owner: Experience Manager</x:v>
      </x:c>
    </x:row>
  </x:sheetData>
  <x:mergeCells>
    <x:mergeCell ref="A1:F1"/>
    <x:mergeCell ref="A2:F2"/>
  </x:mergeCells>
  <x:conditionalFormatting sqref="B9:B9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